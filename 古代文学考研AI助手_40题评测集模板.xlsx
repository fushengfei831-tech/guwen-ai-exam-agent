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题目与考点" sheetId="2" state="visible" r:id="rId2"/>
    <sheet xmlns:r="http://schemas.openxmlformats.org/officeDocument/2006/relationships" name="评分口径" sheetId="3" state="visible" r:id="rId3"/>
    <sheet xmlns:r="http://schemas.openxmlformats.org/officeDocument/2006/relationships" name="评分记录" sheetId="4" state="visible" r:id="rId4"/>
    <sheet xmlns:r="http://schemas.openxmlformats.org/officeDocument/2006/relationships" name="汇总对比" sheetId="5" state="visible" r:id="rId5"/>
  </sheets>
  <definedNames>
    <definedName name="_xlnm._FilterDatabase" localSheetId="1" hidden="1">'题目与考点'!$A$1:$G$41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%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1"/>
    </font>
    <font>
      <b val="1"/>
      <color rgb="001F3864"/>
      <sz val="11"/>
    </font>
    <font>
      <b val="1"/>
      <sz val="10"/>
    </font>
    <font>
      <sz val="10"/>
    </font>
    <font>
      <b val="1"/>
      <color rgb="00FFFFFF"/>
      <sz val="11"/>
    </font>
    <font>
      <sz val="9"/>
    </font>
    <font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1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0" applyAlignment="1" pivotButton="0" quotePrefix="0" xfId="0">
      <alignment vertical="top" wrapText="1"/>
    </xf>
    <xf numFmtId="164" fontId="5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0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96" customWidth="1" min="3" max="3"/>
  </cols>
  <sheetData>
    <row r="1">
      <c r="B1" s="1" t="inlineStr">
        <is>
          <t>古代文学考研 AI 助手 · 40 题垂类评测集</t>
        </is>
      </c>
    </row>
    <row r="2">
      <c r="B2" s="2" t="inlineStr">
        <is>
          <t>目的：4 周内产出一份可写进简历、经得起面试追问的量化证据。</t>
        </is>
      </c>
    </row>
    <row r="4">
      <c r="B4" s="3" t="inlineStr">
        <is>
          <t>一、为什么是 40 题</t>
        </is>
      </c>
      <c r="C4" s="4" t="n"/>
    </row>
    <row r="5" ht="30" customHeight="1">
      <c r="B5" s="5" t="inlineStr">
        <is>
          <t>不要做 100 题</t>
        </is>
      </c>
      <c r="C5" s="6" t="inlineStr">
        <is>
          <t>40 题已经足够得出统计结论（每种题型至少有 5–15 个样本），而 100 题会让你在三周后还在打第 60 道分——那时招聘窗口已经关了。宁可 40 题做完并写进简历，不要 100 题烂尾。</t>
        </is>
      </c>
    </row>
    <row r="6">
      <c r="B6" s="3" t="inlineStr">
        <is>
          <t>二、7 天执行节奏（每天 3–4 小时）</t>
        </is>
      </c>
      <c r="C6" s="4" t="n"/>
    </row>
    <row r="7" ht="30" customHeight="1">
      <c r="B7" s="5" t="inlineStr">
        <is>
          <t>Day 1–2｜确认题目</t>
        </is>
      </c>
      <c r="C7" s="6" t="inlineStr">
        <is>
          <t>打开「题目与考点」表，把你觉得不适合自己知识库的题目替换掉（保持每种题型数量不变）。务必先自己心里答一遍，确认参考答案框架正确。</t>
        </is>
      </c>
    </row>
    <row r="8" ht="30" customHeight="1">
      <c r="B8" s="5" t="inlineStr">
        <is>
          <t>Day 3–4｜跑两组回答</t>
        </is>
      </c>
      <c r="C8" s="6" t="inlineStr">
        <is>
          <t>对每道题用同一个提示词分别问：裸模型（不带你的知识库）和你的 Agent。共 80 次调用。把 80 段回答分别存成独立文本文件（01-A.txt / 01-B.txt …）。</t>
        </is>
      </c>
    </row>
    <row r="9" ht="30" customHeight="1">
      <c r="B9" s="5" t="inlineStr">
        <is>
          <t>Day 5｜盲评准备（关键）</t>
        </is>
      </c>
      <c r="C9" s="6" t="inlineStr">
        <is>
          <t>把 A/B 文件名打乱，自己不要记住哪份是谁的。这一步决定你的数据可不可信——面试官一定会问「你是不是美化了自己的产品」。</t>
        </is>
      </c>
    </row>
    <row r="10" ht="30" customHeight="1">
      <c r="B10" s="5" t="inlineStr">
        <is>
          <t>Day 6–7｜打分与看结论</t>
        </is>
      </c>
      <c r="C10" s="6" t="inlineStr">
        <is>
          <t>按「评分口径」的 6 个维度打 0–3 分，填进「评分记录」表；「汇总对比」会自动算出两组差异和提升幅度。</t>
        </is>
      </c>
    </row>
    <row r="11">
      <c r="B11" s="3" t="inlineStr">
        <is>
          <t>三、你要拿到的 3 个数字（简历上就写这三个）</t>
        </is>
      </c>
      <c r="C11" s="4" t="n"/>
    </row>
    <row r="12" ht="30" customHeight="1">
      <c r="B12" s="5" t="inlineStr">
        <is>
          <t>① 平均总分提升</t>
        </is>
      </c>
      <c r="C12" s="6" t="inlineStr">
        <is>
          <t>汇总表自动计算：我的 Agent 相对裸模型提升 __%（相对提升）。</t>
        </is>
      </c>
    </row>
    <row r="13" ht="30" customHeight="1">
      <c r="B13" s="5" t="inlineStr">
        <is>
          <t>② 幻觉率下降</t>
        </is>
      </c>
      <c r="C13" s="6" t="inlineStr">
        <is>
          <t>带有编造出处 / 张冠李戴 / 时代错乱的回答占比，从 __% 降到 __%。这是古文场景最有说服力的数字。</t>
        </is>
      </c>
    </row>
    <row r="14" ht="30" customHeight="1">
      <c r="B14" s="5" t="inlineStr">
        <is>
          <t>③ 考点覆盖率</t>
        </is>
      </c>
      <c r="C14" s="6" t="inlineStr">
        <is>
          <t>「考点覆盖」维度的平均分提升，代表回答是否踩到采分点。</t>
        </is>
      </c>
    </row>
    <row r="15">
      <c r="B15" s="3" t="inlineStr">
        <is>
          <t>四、盲评纪律（照做，别偷懒）</t>
        </is>
      </c>
      <c r="C15" s="4" t="n"/>
    </row>
    <row r="16" ht="30" customHeight="1">
      <c r="B16" s="5" t="inlineStr">
        <is>
          <t>• 隐去来源</t>
        </is>
      </c>
      <c r="C16" s="6" t="inlineStr">
        <is>
          <t>打分时只看回答内容，不看是哪个模型答的。</t>
        </is>
      </c>
    </row>
    <row r="17" ht="30" customHeight="1">
      <c r="B17" s="5" t="inlineStr">
        <is>
          <t>• 总分相同就判给裸模型</t>
        </is>
      </c>
      <c r="C17" s="6" t="inlineStr">
        <is>
          <t>遇到难以判断优劣的题，一律判给对方，这样结论最保守、最可信。</t>
        </is>
      </c>
    </row>
    <row r="18" ht="30" customHeight="1">
      <c r="B18" s="5" t="inlineStr">
        <is>
          <t>• 全部留痕</t>
        </is>
      </c>
      <c r="C18" s="6" t="inlineStr">
        <is>
          <t>保留 80 份原始回答和打分表。面试时被追问「第三题为什么给 1 分」，你要能立刻翻出来。</t>
        </is>
      </c>
    </row>
    <row r="19" ht="30" customHeight="1">
      <c r="B19" s="5" t="inlineStr">
        <is>
          <t>• 不美化</t>
        </is>
      </c>
      <c r="C19" s="6" t="inlineStr">
        <is>
          <t>如果某几道题你的 Agent 输了，把 badcase 归因写进复盘——这比全赢更让人信服，也正好是面试官最想听的迭代能力。</t>
        </is>
      </c>
    </row>
    <row r="20">
      <c r="B20" s="3" t="inlineStr">
        <is>
          <t>五、产出物（第 3 周完成）</t>
        </is>
      </c>
      <c r="C20" s="4" t="n"/>
    </row>
    <row r="21" ht="30" customHeight="1">
      <c r="B21" s="5" t="inlineStr">
        <is>
          <t>1. GitHub 仓库</t>
        </is>
      </c>
      <c r="C21" s="6" t="inlineStr">
        <is>
          <t>Dify DSL 导出文件 + 评测集（本表）+ 80 份原始回答 + 打分表 + README。</t>
        </is>
      </c>
    </row>
    <row r="22" ht="30" customHeight="1">
      <c r="B22" s="5" t="inlineStr">
        <is>
          <t>2. 一篇复盘长文</t>
        </is>
      </c>
      <c r="C22" s="6" t="inlineStr">
        <is>
          <t>标题建议：《我给古代文学考研做了一套 40 题评测集，发现通用大模型在古文上最大的问题是编出处》。发在知乎 / 小红书 / 掘金 / 公众号任一平台。</t>
        </is>
      </c>
    </row>
    <row r="23" ht="30" customHeight="1">
      <c r="B23" s="5" t="inlineStr">
        <is>
          <t>3. 3 分钟演示视频</t>
        </is>
      </c>
      <c r="C23" s="6" t="inlineStr">
        <is>
          <t>屏幕录制：提问 → Agent 引用原文 → 追问引导 → 对比裸模型的错误回答。</t>
        </is>
      </c>
    </row>
    <row r="24" ht="30" customHeight="1">
      <c r="B24" s="5" t="inlineStr">
        <is>
          <t>4. 简历条目</t>
        </is>
      </c>
      <c r="C24" s="6" t="inlineStr">
        <is>
          <t>直接套用下方模板。</t>
        </is>
      </c>
    </row>
    <row r="25">
      <c r="B25" s="3" t="inlineStr">
        <is>
          <t>六、简历条目模板（把 __ 换成你的数字）</t>
        </is>
      </c>
      <c r="C25" s="4" t="n"/>
    </row>
    <row r="26" ht="60" customHeight="1">
      <c r="B26" s="5" t="inlineStr">
        <is>
          <t>项目经历写法</t>
        </is>
      </c>
      <c r="C26" s="6" t="inlineStr">
        <is>
          <t>古代文学考研 AI 学习助手（独立负责，20__.__–至今）：构建 40 题垂类能力评测集（名词解释 15 / 简答 10 / 论述 10 / 翻译鉴赏 5），含 6 维度评分口径与 7 类幻觉判定标准；采用盲评法对比通用大模型与自建 RAG Agent，平均得分由 __ 分提升至 __ 分（+__%），幻觉引用率由 __% 降至 __%，论述题采分点覆盖率提升 __%。</t>
        </is>
      </c>
    </row>
    <row r="27">
      <c r="B27" s="3" t="inlineStr">
        <is>
          <t>七、面试必被追问的 3 个问题（现在就准备答案）</t>
        </is>
      </c>
      <c r="C27" s="4" t="n"/>
    </row>
    <row r="28" ht="30" customHeight="1">
      <c r="B28" s="5" t="inlineStr">
        <is>
          <t>「评分标准是不是你自己定的？」</t>
        </is>
      </c>
      <c r="C28" s="6" t="inlineStr">
        <is>
          <t>答：是我定的，但我做了三件事保证可信——盲评、同分判给对方、保留全部原始数据。口径写在表里，你可以现场挑一道题重新评分验证。</t>
        </is>
      </c>
    </row>
    <row r="29" ht="30" customHeight="1">
      <c r="B29" s="5" t="inlineStr">
        <is>
          <t>「40 题样本够吗？」</t>
        </is>
      </c>
      <c r="C29" s="6" t="inlineStr">
        <is>
          <t>答：不够做学术研究，但足够定位系统性问题。我发现幻觉集中出现在三个场景：冷门作品的成书年代、词派归属、以及引文原文，这已经能指导迭代。</t>
        </is>
      </c>
    </row>
    <row r="30" ht="30" customHeight="1">
      <c r="B30" s="5" t="inlineStr">
        <is>
          <t>「你的 Agent 赢在哪？」</t>
        </is>
      </c>
      <c r="C30" s="6" t="inlineStr">
        <is>
          <t>答：赢在引用可控和追问引导，不赢在知识量。通用模型的知识量更大，但在必须给出处、不能编的题型上不可靠。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8" customWidth="1" min="4" max="4"/>
    <col width="58" customWidth="1" min="5" max="5"/>
    <col width="46" customWidth="1" min="6" max="6"/>
    <col width="38" customWidth="1" min="7" max="7"/>
  </cols>
  <sheetData>
    <row r="1" ht="34" customHeight="1">
      <c r="A1" s="7" t="inlineStr">
        <is>
          <t>题号</t>
        </is>
      </c>
      <c r="B1" s="7" t="inlineStr">
        <is>
          <t>题型</t>
        </is>
      </c>
      <c r="C1" s="7" t="inlineStr">
        <is>
          <t>题目</t>
        </is>
      </c>
      <c r="D1" s="7" t="inlineStr">
        <is>
          <t>建议满分</t>
        </is>
      </c>
      <c r="E1" s="7" t="inlineStr">
        <is>
          <t>应命中考点（核心采分点）</t>
        </is>
      </c>
      <c r="F1" s="7" t="inlineStr">
        <is>
          <t>参考答题框架</t>
        </is>
      </c>
      <c r="G1" s="7" t="inlineStr">
        <is>
          <t>常见幻觉 / 失分风险</t>
        </is>
      </c>
    </row>
    <row r="2" ht="88" customHeight="1">
      <c r="A2" s="8" t="n">
        <v>1</v>
      </c>
      <c r="B2" s="8" t="inlineStr">
        <is>
          <t>名词解释</t>
        </is>
      </c>
      <c r="C2" s="9" t="inlineStr">
        <is>
          <t>风雅颂</t>
        </is>
      </c>
      <c r="D2" s="8" t="n">
        <v>5</v>
      </c>
      <c r="E2" s="9" t="inlineStr">
        <is>
          <t>①《诗经》按音乐性质划分的三类 ②风=十五国风，多为民间歌谣 ③雅=正声，分大雅、小雅，多为贵族宫廷乐歌 ④颂=宗庙祭祀乐歌，含周颂、鲁颂、商颂 ⑤意义：构成《诗经》内容分类基础，反映不同阶层与用途</t>
        </is>
      </c>
      <c r="F2" s="9" t="inlineStr">
        <is>
          <t>出处定性 → 三类分述（含数量与性质）→ 一句话文学史意义</t>
        </is>
      </c>
      <c r="G2" s="9" t="inlineStr">
        <is>
          <t>把「雅」说成民歌；把颂的数量说错；只答三类名称不解释</t>
        </is>
      </c>
    </row>
    <row r="3" ht="88" customHeight="1">
      <c r="A3" s="8" t="n">
        <v>2</v>
      </c>
      <c r="B3" s="8" t="inlineStr">
        <is>
          <t>名词解释</t>
        </is>
      </c>
      <c r="C3" s="9" t="inlineStr">
        <is>
          <t>赋比兴</t>
        </is>
      </c>
      <c r="D3" s="8" t="n">
        <v>5</v>
      </c>
      <c r="E3" s="9" t="inlineStr">
        <is>
          <t>①《诗经》三种表现手法，与风雅颂合称「六义」 ②赋=铺陈直叙 ③比=比喻、比拟 ④兴=起兴，先言他物以引出所咏之辞 ⑤影响：奠定中国诗歌比兴传统，为后世诗论核心范畴</t>
        </is>
      </c>
      <c r="F3" s="9" t="inlineStr">
        <is>
          <t>定性 → 三者分述 → 对后世诗歌的影响</t>
        </is>
      </c>
      <c r="G3" s="9" t="inlineStr">
        <is>
          <t>把「兴」解释成「联想」；把赋比兴说成内容分类（与风雅颂混淆）</t>
        </is>
      </c>
    </row>
    <row r="4" ht="88" customHeight="1">
      <c r="A4" s="8" t="n">
        <v>3</v>
      </c>
      <c r="B4" s="8" t="inlineStr">
        <is>
          <t>名词解释</t>
        </is>
      </c>
      <c r="C4" s="9" t="inlineStr">
        <is>
          <t>春秋笔法</t>
        </is>
      </c>
      <c r="D4" s="8" t="n">
        <v>5</v>
      </c>
      <c r="E4" s="9" t="inlineStr">
        <is>
          <t>①出自鲁国编年史《春秋》 ②一字寓褒贬，微言大义 ③记事简练谨严，用词有严格等级与褒贬规则 ④体现儒家正名思想 ⑤影响后世史传文学与叙事传统、史论笔法</t>
        </is>
      </c>
      <c r="F4" s="9" t="inlineStr">
        <is>
          <t>出处 → 核心特征（一字褒贬）→ 表现方式 → 影响</t>
        </is>
      </c>
      <c r="G4" s="9" t="inlineStr">
        <is>
          <t>编造具体字例（如说「某字代表某义」却无出处）；把《春秋》与《左传》混为一谈</t>
        </is>
      </c>
    </row>
    <row r="5" ht="88" customHeight="1">
      <c r="A5" s="8" t="n">
        <v>4</v>
      </c>
      <c r="B5" s="8" t="inlineStr">
        <is>
          <t>名词解释</t>
        </is>
      </c>
      <c r="C5" s="9" t="inlineStr">
        <is>
          <t>楚辞</t>
        </is>
      </c>
      <c r="D5" s="8" t="n">
        <v>5</v>
      </c>
      <c r="E5" s="9" t="inlineStr">
        <is>
          <t>①战国后期在楚地形成的诗歌体裁 ②以屈原为代表，另有宋玉等 ③句式参差、多用「兮」字，带楚地方言色彩 ④多神话想象与浪漫气息 ⑤西汉刘向辑集成书；开创中国文学浪漫主义传统</t>
        </is>
      </c>
      <c r="F5" s="9" t="inlineStr">
        <is>
          <t>时间地域 → 代表作家 → 形式特征 → 风格 → 文学史地位</t>
        </is>
      </c>
      <c r="G5" s="9" t="inlineStr">
        <is>
          <t>说屈原是《楚辞》编者（实为刘向辑集）；把楚辞与汉赋混同</t>
        </is>
      </c>
    </row>
    <row r="6" ht="88" customHeight="1">
      <c r="A6" s="8" t="n">
        <v>5</v>
      </c>
      <c r="B6" s="8" t="inlineStr">
        <is>
          <t>名词解释</t>
        </is>
      </c>
      <c r="C6" s="9" t="inlineStr">
        <is>
          <t>建安风骨</t>
        </is>
      </c>
      <c r="D6" s="8" t="n">
        <v>5</v>
      </c>
      <c r="E6" s="9" t="inlineStr">
        <is>
          <t>①汉末建安时期形成 ②代表作家：三曹、七子、蔡琰 ③内容多反映社会动乱与民生疾苦，兼写建功立业之志 ④风格慷慨悲凉、刚健遒劲 ⑤后世「风骨」论的重要源头，为陈子昂、李白所推重</t>
        </is>
      </c>
      <c r="F6" s="9" t="inlineStr">
        <is>
          <t>时代 → 代表 → 内容 → 风格特征 → 后世影响</t>
        </is>
      </c>
      <c r="G6" s="9" t="inlineStr">
        <is>
          <t>把「风骨」解释成纯形式技巧；把建安与正始文学（阮籍嵇康）混同</t>
        </is>
      </c>
    </row>
    <row r="7" ht="88" customHeight="1">
      <c r="A7" s="8" t="n">
        <v>6</v>
      </c>
      <c r="B7" s="8" t="inlineStr">
        <is>
          <t>名词解释</t>
        </is>
      </c>
      <c r="C7" s="9" t="inlineStr">
        <is>
          <t>永明体</t>
        </is>
      </c>
      <c r="D7" s="8" t="n">
        <v>5</v>
      </c>
      <c r="E7" s="9" t="inlineStr">
        <is>
          <t>①南朝齐永明年间兴起的新体诗 ②代表：沈约、谢朓、王融、周颙 ③讲求四声八病，追求声律和谐 ④讲究对偶工整、辞采清丽 ⑤是近体格律诗形成的开端</t>
        </is>
      </c>
      <c r="F7" s="9" t="inlineStr">
        <is>
          <t>时间 → 代表 → 声律主张 → 形式追求 → 文学史意义</t>
        </is>
      </c>
      <c r="G7" s="9" t="inlineStr">
        <is>
          <t>把「八病」内容编错；说永明体就是格律诗（实为开端而非定型）</t>
        </is>
      </c>
    </row>
    <row r="8" ht="88" customHeight="1">
      <c r="A8" s="8" t="n">
        <v>7</v>
      </c>
      <c r="B8" s="8" t="inlineStr">
        <is>
          <t>名词解释</t>
        </is>
      </c>
      <c r="C8" s="9" t="inlineStr">
        <is>
          <t>志人小说（《世说新语》）</t>
        </is>
      </c>
      <c r="D8" s="8" t="n">
        <v>5</v>
      </c>
      <c r="E8" s="9" t="inlineStr">
        <is>
          <t>①魏晋南北朝时期记录名士言行轶事的小说类型 ②代表为刘义庆《世说新语》 ③分门别类（德行、言语、任诞等）辑录 ④语言简约隽永，善以片言只语传神 ⑤影响后世笔记小说、人物品评与士人精神书写</t>
        </is>
      </c>
      <c r="F8" s="9" t="inlineStr">
        <is>
          <t>类型定性 → 代表作 → 编排体例 → 语言特点 → 影响</t>
        </is>
      </c>
      <c r="G8" s="9" t="inlineStr">
        <is>
          <t>把《世说新语》归入志怪小说；说作者是刘向</t>
        </is>
      </c>
    </row>
    <row r="9" ht="88" customHeight="1">
      <c r="A9" s="8" t="n">
        <v>8</v>
      </c>
      <c r="B9" s="8" t="inlineStr">
        <is>
          <t>名词解释</t>
        </is>
      </c>
      <c r="C9" s="9" t="inlineStr">
        <is>
          <t>初唐四杰</t>
        </is>
      </c>
      <c r="D9" s="8" t="n">
        <v>5</v>
      </c>
      <c r="E9" s="9" t="inlineStr">
        <is>
          <t>①王勃、杨炯、卢照邻、骆宾王 ②反对上官体的绮靡诗风 ③题材由宫廷转向市井、边塞与人生感慨 ④在五言律诗、五言绝句定型上有贡献 ⑤为盛唐诗歌的繁荣开辟道路</t>
        </is>
      </c>
      <c r="F9" s="9" t="inlineStr">
        <is>
          <t>四人姓名 → 针对的反对对象 → 题材拓展 → 形式贡献 → 文学史作用</t>
        </is>
      </c>
      <c r="G9" s="9" t="inlineStr">
        <is>
          <t>漏写或错写人名；把四杰说成盛唐诗人</t>
        </is>
      </c>
    </row>
    <row r="10" ht="88" customHeight="1">
      <c r="A10" s="8" t="n">
        <v>9</v>
      </c>
      <c r="B10" s="8" t="inlineStr">
        <is>
          <t>名词解释</t>
        </is>
      </c>
      <c r="C10" s="9" t="inlineStr">
        <is>
          <t>盛唐边塞诗派</t>
        </is>
      </c>
      <c r="D10" s="8" t="n">
        <v>5</v>
      </c>
      <c r="E10" s="9" t="inlineStr">
        <is>
          <t>①盛唐时期重要诗派 ②代表：高适、岑参、王昌龄、王之涣、李颀 ③题材：边塞风光、征战苦乐、将士思乡与报国情怀 ④风格雄浑悲壮、气象开阔 ⑤反映盛唐气象与民族交往，与山水田园诗派并称</t>
        </is>
      </c>
      <c r="F10" s="9" t="inlineStr">
        <is>
          <t>时代 → 代表 → 题材内容 → 风格 → 与山水田园诗派的关系</t>
        </is>
      </c>
      <c r="G10" s="9" t="inlineStr">
        <is>
          <t>把王维归为边塞派代表（王维属山水田园，虽有边塞之作）；把高适岑参风格差异说反</t>
        </is>
      </c>
    </row>
    <row r="11" ht="88" customHeight="1">
      <c r="A11" s="8" t="n">
        <v>10</v>
      </c>
      <c r="B11" s="8" t="inlineStr">
        <is>
          <t>名词解释</t>
        </is>
      </c>
      <c r="C11" s="9" t="inlineStr">
        <is>
          <t>韩孟诗派</t>
        </is>
      </c>
      <c r="D11" s="8" t="n">
        <v>5</v>
      </c>
      <c r="E11" s="9" t="inlineStr">
        <is>
          <t>①中唐以韩愈、孟郊为代表的诗派，另有贾岛、李贺、卢仝等 ②主张「不平则鸣」，重主观抒情 ③崇尚奇险怪诞，务去陈言，造句求新求怪 ④以文为诗、以议论为诗 ⑤与元白诗派并立，影响晚唐与宋诗</t>
        </is>
      </c>
      <c r="F11" s="9" t="inlineStr">
        <is>
          <t>时代 → 代表 → 理论主张 → 艺术追求 → 与元白诗派对照</t>
        </is>
      </c>
      <c r="G11" s="9" t="inlineStr">
        <is>
          <t>把孟郊与孟浩然混为一谈；把「不平则鸣」用于白居易</t>
        </is>
      </c>
    </row>
    <row r="12" ht="88" customHeight="1">
      <c r="A12" s="8" t="n">
        <v>11</v>
      </c>
      <c r="B12" s="8" t="inlineStr">
        <is>
          <t>名词解释</t>
        </is>
      </c>
      <c r="C12" s="9" t="inlineStr">
        <is>
          <t>花间词派</t>
        </is>
      </c>
      <c r="D12" s="8" t="n">
        <v>5</v>
      </c>
      <c r="E12" s="9" t="inlineStr">
        <is>
          <t>①晚唐五代出现的早期文人词派 ②因赵崇祚编《花间集》得名 ③代表：温庭筠、韦庄、皇甫松 ④题材多闺情离愁、宴饮风月 ⑤风格绮丽柔靡，确立词的婉约基调</t>
        </is>
      </c>
      <c r="F12" s="9" t="inlineStr">
        <is>
          <t>时代 → 得名由来 → 代表 → 题材 → 风格与词史地位</t>
        </is>
      </c>
      <c r="G12" s="9" t="inlineStr">
        <is>
          <t>说《花间集》为温庭筠所编；把李煜归入花间派</t>
        </is>
      </c>
    </row>
    <row r="13" ht="88" customHeight="1">
      <c r="A13" s="8" t="n">
        <v>12</v>
      </c>
      <c r="B13" s="8" t="inlineStr">
        <is>
          <t>名词解释</t>
        </is>
      </c>
      <c r="C13" s="9" t="inlineStr">
        <is>
          <t>西昆体</t>
        </is>
      </c>
      <c r="D13" s="8" t="n">
        <v>5</v>
      </c>
      <c r="E13" s="9" t="inlineStr">
        <is>
          <t>①北宋初年诗体，因《西昆酬唱集》得名 ②代表：杨亿、刘筠、钱惟演 ③宗法李商隐，辞藻华美、多用典故、对仗精工 ④内容较空泛，多为应酬唱和 ⑤遭欧阳修、梅尧臣等诗文革新派批评</t>
        </is>
      </c>
      <c r="F13" s="9" t="inlineStr">
        <is>
          <t>时代 → 得名 → 代表 → 艺术取向 → 后世评价</t>
        </is>
      </c>
      <c r="G13" s="9" t="inlineStr">
        <is>
          <t>说西昆体宗法杜甫；把西昆体与江西诗派混同</t>
        </is>
      </c>
    </row>
    <row r="14" ht="88" customHeight="1">
      <c r="A14" s="8" t="n">
        <v>13</v>
      </c>
      <c r="B14" s="8" t="inlineStr">
        <is>
          <t>名词解释</t>
        </is>
      </c>
      <c r="C14" s="9" t="inlineStr">
        <is>
          <t>江西诗派</t>
        </is>
      </c>
      <c r="D14" s="8" t="n">
        <v>5</v>
      </c>
      <c r="E14" s="9" t="inlineStr">
        <is>
          <t>①北宋末至南宋的诗歌流派 ②黄庭坚为开创者，吕本中作《江西诗社宗派图》 ③主张「点铁成金」「夺胎换骨」，讲求「无一字无来处」 ④风格瘦硬奇拗，好用僻典拗句 ⑤有「一祖三宗」之说（杜甫、黄庭坚、陈师道、陈与义）</t>
        </is>
      </c>
      <c r="F14" s="9" t="inlineStr">
        <is>
          <t>时代 → 宗主与得名 → 理论主张 → 风格 → 一祖三宗与影响</t>
        </is>
      </c>
      <c r="G14" s="9" t="inlineStr">
        <is>
          <t>把「一祖」说成黄庭坚；把点铁成金解释成抄袭</t>
        </is>
      </c>
    </row>
    <row r="15" ht="88" customHeight="1">
      <c r="A15" s="8" t="n">
        <v>14</v>
      </c>
      <c r="B15" s="8" t="inlineStr">
        <is>
          <t>名词解释</t>
        </is>
      </c>
      <c r="C15" s="9" t="inlineStr">
        <is>
          <t>临川四梦（玉茗堂四梦）</t>
        </is>
      </c>
      <c r="D15" s="8" t="n">
        <v>5</v>
      </c>
      <c r="E15" s="9" t="inlineStr">
        <is>
          <t>①明代汤显祖的四部传奇 ②《牡丹亭》《紫钗记》《南柯记》《邯郸记》 ③因汤显祖为江西临川人，又称玉茗堂四梦 ④以「情」为核心，贯穿情理冲突 ⑤《牡丹亭》为代表作，标志明代戏曲高峰</t>
        </is>
      </c>
      <c r="F15" s="9" t="inlineStr">
        <is>
          <t>作者 → 四部作品名 → 得名由来 → 共同主题 → 代表作评价</t>
        </is>
      </c>
      <c r="G15" s="9" t="inlineStr">
        <is>
          <t>四部作品名漏写或错写（如写成《南柯梦》《邯郸梦》可接受，但漏《紫钗记》为硬伤）</t>
        </is>
      </c>
    </row>
    <row r="16" ht="88" customHeight="1">
      <c r="A16" s="8" t="n">
        <v>15</v>
      </c>
      <c r="B16" s="8" t="inlineStr">
        <is>
          <t>名词解释</t>
        </is>
      </c>
      <c r="C16" s="9" t="inlineStr">
        <is>
          <t>桐城派</t>
        </is>
      </c>
      <c r="D16" s="8" t="n">
        <v>5</v>
      </c>
      <c r="E16" s="9" t="inlineStr">
        <is>
          <t>①清代影响最大的散文流派 ②代表：方苞、刘大櫆、姚鼐（桐城三祖） ③主张义理、考据、辞章三者统一 ④讲求文章「雅洁」，有义法之说 ⑤姚鼐编《古文辞类纂》，影响清代及近代文坛</t>
        </is>
      </c>
      <c r="F16" s="9" t="inlineStr">
        <is>
          <t>时代 → 三祖 → 理论主张 → 风格要求 → 影响与选本</t>
        </is>
      </c>
      <c r="G16" s="9" t="inlineStr">
        <is>
          <t>把桐城派说成骈文派；把「义法」归给姚鼐（方苞提出）</t>
        </is>
      </c>
    </row>
    <row r="17" ht="88" customHeight="1">
      <c r="A17" s="8" t="n">
        <v>16</v>
      </c>
      <c r="B17" s="8" t="inlineStr">
        <is>
          <t>简答</t>
        </is>
      </c>
      <c r="C17" s="9" t="inlineStr">
        <is>
          <t>简述《左传》的文学成就</t>
        </is>
      </c>
      <c r="D17" s="8" t="n">
        <v>10</v>
      </c>
      <c r="E17" s="9" t="inlineStr">
        <is>
          <t>①善于叙写战争：详略得当，侧重交代因果、人心向背，而非单纯渲染厮杀 ②人物形象鲜明：通过言行细节与矛盾冲突刻画 ③外交辞令委婉巧妙、有理有节 ④语言精练含蓄，善用「君子曰」发表评论 ⑤对后世史传文学与叙事散文影响深远</t>
        </is>
      </c>
      <c r="F17" s="9" t="inlineStr">
        <is>
          <t>总说 → 战争描写 → 人物塑造 → 辞令与语言 → 影响</t>
        </is>
      </c>
      <c r="G17" s="9" t="inlineStr">
        <is>
          <t>把《左传》说成编年体以外的体例；把「君子曰」说成《史记》的「太史公曰」</t>
        </is>
      </c>
    </row>
    <row r="18" ht="88" customHeight="1">
      <c r="A18" s="8" t="n">
        <v>17</v>
      </c>
      <c r="B18" s="8" t="inlineStr">
        <is>
          <t>简答</t>
        </is>
      </c>
      <c r="C18" s="9" t="inlineStr">
        <is>
          <t>简述《史记》人物塑造的艺术手法</t>
        </is>
      </c>
      <c r="D18" s="8" t="n">
        <v>10</v>
      </c>
      <c r="E18" s="9" t="inlineStr">
        <is>
          <t>①选材典型，以事写人，选取最能体现性格的事件 ②互见法：本传突出主要性格，他传补充侧面 ③细节描写与个性化语言 ④置于矛盾冲突与典型环境中凸显性格 ⑤「太史公曰」的主观评价与抒情性 ⑥塑造大量悲剧人物形象</t>
        </is>
      </c>
      <c r="F18" s="9" t="inlineStr">
        <is>
          <t>分条列点，每条一句话概括＋一例证</t>
        </is>
      </c>
      <c r="G18" s="9" t="inlineStr">
        <is>
          <t>把互见法解释成重复记述；举例时张冠李戴（如把项羽事迹说成刘邦）</t>
        </is>
      </c>
    </row>
    <row r="19" ht="88" customHeight="1">
      <c r="A19" s="8" t="n">
        <v>18</v>
      </c>
      <c r="B19" s="8" t="inlineStr">
        <is>
          <t>简答</t>
        </is>
      </c>
      <c r="C19" s="9" t="inlineStr">
        <is>
          <t>简述汉乐府民歌的思想与艺术特点</t>
        </is>
      </c>
      <c r="D19" s="8" t="n">
        <v>10</v>
      </c>
      <c r="E19" s="9" t="inlineStr">
        <is>
          <t>①「感于哀乐，缘事而发」，反映社会现实与民生疾苦 ②叙事性强，出现较完整的情节与人物形象 ③语言朴实自然，多用口语与对话 ④句式自由，多杂言，保留民歌格调 ⑤开创现实主义叙事诗传统，影响建安与唐代新乐府</t>
        </is>
      </c>
      <c r="F19" s="9" t="inlineStr">
        <is>
          <t>思想内容 → 叙事特征 → 语言句式 → 文学史影响</t>
        </is>
      </c>
      <c r="G19" s="9" t="inlineStr">
        <is>
          <t>说汉乐府全是五言整齐句式；把《古诗十九首》混入乐府民歌</t>
        </is>
      </c>
    </row>
    <row r="20" ht="88" customHeight="1">
      <c r="A20" s="8" t="n">
        <v>19</v>
      </c>
      <c r="B20" s="8" t="inlineStr">
        <is>
          <t>简答</t>
        </is>
      </c>
      <c r="C20" s="9" t="inlineStr">
        <is>
          <t>简述陶渊明田园诗的艺术风格</t>
        </is>
      </c>
      <c r="D20" s="8" t="n">
        <v>10</v>
      </c>
      <c r="E20" s="9" t="inlineStr">
        <is>
          <t>①平淡自然、真淳，看似无意为诗 ②以日常农事、田园景物入诗 ③情、景、理交融，于平常物象中含哲思 ④语言朴素精炼，「质而实绮，癯而实腴」 ⑤表现归隐心态与人生理想 ⑥影响王维、孟浩然、韦应物、柳宗元</t>
        </is>
      </c>
      <c r="F20" s="9" t="inlineStr">
        <is>
          <t>总说风格 → 题材 → 表现手法 → 语言 → 影响</t>
        </is>
      </c>
      <c r="G20" s="9" t="inlineStr">
        <is>
          <t>把陶渊明说成山水诗派开创者（应为田园诗）；引文张冠李戴</t>
        </is>
      </c>
    </row>
    <row r="21" ht="88" customHeight="1">
      <c r="A21" s="8" t="n">
        <v>20</v>
      </c>
      <c r="B21" s="8" t="inlineStr">
        <is>
          <t>简答</t>
        </is>
      </c>
      <c r="C21" s="9" t="inlineStr">
        <is>
          <t>简述李白诗歌的艺术特色</t>
        </is>
      </c>
      <c r="D21" s="8" t="n">
        <v>10</v>
      </c>
      <c r="E21" s="9" t="inlineStr">
        <is>
          <t>①强烈的自我表现与主观抒情色彩 ②想象奇特、夸张大胆，善用神话传说 ③意象壮美飞动（大鹏、黄河、明月、瀑布） ④语言清新自然，「清水出芙蓉，天然去雕饰」 ⑤擅长乐府与歌行，句式自由奔放 ⑥整体风格飘逸豪放</t>
        </is>
      </c>
      <c r="F21" s="9" t="inlineStr">
        <is>
          <t>分条：抒情、想象、意象、语言、体裁、总风格</t>
        </is>
      </c>
      <c r="G21" s="9" t="inlineStr">
        <is>
          <t>把「清水出芙蓉」说成杜甫评李白以外的出处；把李白归为现实主义诗人</t>
        </is>
      </c>
    </row>
    <row r="22" ht="88" customHeight="1">
      <c r="A22" s="8" t="n">
        <v>21</v>
      </c>
      <c r="B22" s="8" t="inlineStr">
        <is>
          <t>简答</t>
        </is>
      </c>
      <c r="C22" s="9" t="inlineStr">
        <is>
          <t>简述杜甫诗歌「沉郁顿挫」的内涵</t>
        </is>
      </c>
      <c r="D22" s="8" t="n">
        <v>10</v>
      </c>
      <c r="E22" s="9" t="inlineStr">
        <is>
          <t>①「沉郁」指思想感情的深沉凝重，忧国忧民、忧愤深广 ②「顿挫」指表现上的抑扬起伏、章法曲折、声律顿挫 ③二者结合，形成内容与形式统一的风格 ④表现为以史入诗、叙事与抒情议论结合 ⑤语言精严，「语不惊人死不休」 ⑥是杜诗主体风格，尤以晚年律诗为典型</t>
        </is>
      </c>
      <c r="F22" s="9" t="inlineStr">
        <is>
          <t>分释「沉郁」「顿挫」→ 二者关系 → 具体表现 → 代表作印证</t>
        </is>
      </c>
      <c r="G22" s="9" t="inlineStr">
        <is>
          <t>只解释「沉郁」不解释「顿挫」；把该风格归给白居易</t>
        </is>
      </c>
    </row>
    <row r="23" ht="88" customHeight="1">
      <c r="A23" s="8" t="n">
        <v>22</v>
      </c>
      <c r="B23" s="8" t="inlineStr">
        <is>
          <t>简答</t>
        </is>
      </c>
      <c r="C23" s="9" t="inlineStr">
        <is>
          <t>简述白居易新乐府运动的理论主张</t>
        </is>
      </c>
      <c r="D23" s="8" t="n">
        <v>10</v>
      </c>
      <c r="E23" s="9" t="inlineStr">
        <is>
          <t>①「文章合为时而著，歌诗合为事而作」 ②主张诗歌补察时政、泄导人情 ③提倡讽喻，反对无病呻吟与形式主义 ④强调内容决定形式，语言通俗易懂 ⑤与元稹并称「元白」，共同倡导 ⑥创作实践：《新乐府》五十首、《秦中吟》十首</t>
        </is>
      </c>
      <c r="F23" s="9" t="inlineStr">
        <is>
          <t>核心主张（引原句）→ 功能论 → 反对对象 → 语言主张 → 创作实践</t>
        </is>
      </c>
      <c r="G23" s="9" t="inlineStr">
        <is>
          <t>把「文章合为时而著」的作者说成韩愈；把新乐府运动说成古文运动</t>
        </is>
      </c>
    </row>
    <row r="24" ht="88" customHeight="1">
      <c r="A24" s="8" t="n">
        <v>23</v>
      </c>
      <c r="B24" s="8" t="inlineStr">
        <is>
          <t>简答</t>
        </is>
      </c>
      <c r="C24" s="9" t="inlineStr">
        <is>
          <t>简述苏轼对词的贡献</t>
        </is>
      </c>
      <c r="D24" s="8" t="n">
        <v>10</v>
      </c>
      <c r="E24" s="9" t="inlineStr">
        <is>
          <t>①「以诗为词」，扩大词的题材范围 ②开创豪放词风（《念奴娇·赤壁怀古》《江城子·密州出猎》） ③提高词的意境与格调，使词摆脱「艳科」 ④音律上主张「自是一家」，不被音律束缚 ⑤影响辛弃疾等豪放派，形成苏辛词派 ⑥使词由小道上升为与诗并列的抒情体裁</t>
        </is>
      </c>
      <c r="F24" s="9" t="inlineStr">
        <is>
          <t>题材 → 风格 → 意境格调 → 音律观 → 影响与地位</t>
        </is>
      </c>
      <c r="G24" s="9" t="inlineStr">
        <is>
          <t>说苏轼开创婉约派；把「自是一家」出处说错</t>
        </is>
      </c>
    </row>
    <row r="25" ht="88" customHeight="1">
      <c r="A25" s="8" t="n">
        <v>24</v>
      </c>
      <c r="B25" s="8" t="inlineStr">
        <is>
          <t>简答</t>
        </is>
      </c>
      <c r="C25" s="9" t="inlineStr">
        <is>
          <t>简述《西厢记》中崔莺莺的形象</t>
        </is>
      </c>
      <c r="D25" s="8" t="n">
        <v>10</v>
      </c>
      <c r="E25" s="9" t="inlineStr">
        <is>
          <t>①相国小姐出身，受封建礼教与门第观念约束 ②对爱情由被动接受到主动追求，经历觉醒过程 ③内心矛盾与挣扎（「闹简」「赖简」） ④大胆反抗门第观念与功名思想 ⑤性格中兼具热情与矜持、聪慧与深沉 ⑥是封建时代觉醒女性形象的典型</t>
        </is>
      </c>
      <c r="F25" s="9" t="inlineStr">
        <is>
          <t>身份处境 → 性格发展 → 内心矛盾 → 反抗性 → 形象意义</t>
        </is>
      </c>
      <c r="G25" s="9" t="inlineStr">
        <is>
          <t>把崔莺莺与杜丽娘混同；把《西厢记》作者说成王实甫以外的说法不加限定（实为王实甫，取材《莺莺传》）</t>
        </is>
      </c>
    </row>
    <row r="26" ht="88" customHeight="1">
      <c r="A26" s="8" t="n">
        <v>25</v>
      </c>
      <c r="B26" s="8" t="inlineStr">
        <is>
          <t>简答</t>
        </is>
      </c>
      <c r="C26" s="9" t="inlineStr">
        <is>
          <t>简述《红楼梦》人物塑造「如实描写」的特点</t>
        </is>
      </c>
      <c r="D26" s="8" t="n">
        <v>10</v>
      </c>
      <c r="E26" s="9" t="inlineStr">
        <is>
          <t>①打破「好人一切皆好、坏人一切皆坏」的传统写法 ②人物性格具多面性与复杂性（如王熙凤、薛宝钗） ③性格与环境、身份、教养相统一 ④在日常细事与对话中自然显现性格 ⑤心理描写细腻深入 ⑥典型化与个性化高度结合，人物「各有其面」</t>
        </is>
      </c>
      <c r="F26" s="9" t="inlineStr">
        <is>
          <t>总说原则 → 复杂性 → 环境统一 → 表现手法 → 心理描写 → 成就</t>
        </is>
      </c>
      <c r="G26" s="9" t="inlineStr">
        <is>
          <t>把「如实描写」的提出者说成曹雪芹本人（实为鲁迅评语）；人物关系错配</t>
        </is>
      </c>
    </row>
    <row r="27" ht="88" customHeight="1">
      <c r="A27" s="8" t="n">
        <v>26</v>
      </c>
      <c r="B27" s="8" t="inlineStr">
        <is>
          <t>论述</t>
        </is>
      </c>
      <c r="C27" s="9" t="inlineStr">
        <is>
          <t>论述《诗经》在中国文学史上的地位与影响</t>
        </is>
      </c>
      <c r="D27" s="8" t="n">
        <v>20</v>
      </c>
      <c r="E27" s="9" t="inlineStr">
        <is>
          <t>①中国第一部诗歌总集，确立现实主义创作道路 ②开创赋比兴手法与「风雅」精神 ③奠定抒情诗传统，形成以抒情为主的民族诗学特征 ④四言体与重章叠句等形式的示范作用 ⑤汉代被尊为经典，成为儒家政教与诗教工具 ⑥比兴讽喻传统在后世的延续（陈子昂「汉魏风骨」、白居易新乐府、乃至现代诗学）</t>
        </is>
      </c>
      <c r="F27" s="9" t="inlineStr">
        <is>
          <t>总论点 → 分论点 3–4 条，每条有例证 → 结论提升到民族文学传统</t>
        </is>
      </c>
      <c r="G27" s="9" t="inlineStr">
        <is>
          <t>只罗列特点不立论点；把《诗经》说成屈原编订</t>
        </is>
      </c>
    </row>
    <row r="28" ht="88" customHeight="1">
      <c r="A28" s="8" t="n">
        <v>27</v>
      </c>
      <c r="B28" s="8" t="inlineStr">
        <is>
          <t>论述</t>
        </is>
      </c>
      <c r="C28" s="9" t="inlineStr">
        <is>
          <t>论述屈原《离骚》的思想内容与艺术成就</t>
        </is>
      </c>
      <c r="D28" s="8" t="n">
        <v>20</v>
      </c>
      <c r="E28" s="9" t="inlineStr">
        <is>
          <t>①思想：忠君爱国与「美政」理想 ②九死未悔的执着精神与对黑暗现实的批判 ③艺术：浪漫主义手法，大量神话与想象 ④「香草美人」比兴象征系统 ⑤抒情主人公形象的自我塑造 ⑥楚地方言与「兮」字句式，结构上回环往复、篇幅宏大</t>
        </is>
      </c>
      <c r="F28" s="9" t="inlineStr">
        <is>
          <t>思想内容分层 → 艺术成就分层 → 二者统一关系 → 文学史地位</t>
        </is>
      </c>
      <c r="G28" s="9" t="inlineStr">
        <is>
          <t>把《离骚》说成叙事诗；意象象征解释错乱</t>
        </is>
      </c>
    </row>
    <row r="29" ht="88" customHeight="1">
      <c r="A29" s="8" t="n">
        <v>28</v>
      </c>
      <c r="B29" s="8" t="inlineStr">
        <is>
          <t>论述</t>
        </is>
      </c>
      <c r="C29" s="9" t="inlineStr">
        <is>
          <t>论述建安文学的时代特征与代表作家</t>
        </is>
      </c>
      <c r="D29" s="8" t="n">
        <v>20</v>
      </c>
      <c r="E29" s="9" t="inlineStr">
        <is>
          <t>①时代背景：汉末大乱，社会动荡 ②曹操：古直悲凉，《短歌行》《蒿里行》 ③曹丕：婉约清丽，《燕歌行》 ④曹植：骨气奇高、词采华茂，《洛神赋》《白马篇》 ⑤建安七子：王粲《七哀诗》、刘桢、陈琳等 ⑥蔡琰《悲愤诗》 ⑦共同特征：反映现实与建功立业之志，慷慨悲凉、风骨遒劲 ⑧文学自觉与文人集团创作的出现</t>
        </is>
      </c>
      <c r="F29" s="9" t="inlineStr">
        <is>
          <t>时代背景 → 代表作家分述（各带代表作）→ 共同特征 → 文学史意义</t>
        </is>
      </c>
      <c r="G29" s="9" t="inlineStr">
        <is>
          <t>把正始文学（阮籍、嵇康）归入建安；代表作张冠李戴</t>
        </is>
      </c>
    </row>
    <row r="30" ht="88" customHeight="1">
      <c r="A30" s="8" t="n">
        <v>29</v>
      </c>
      <c r="B30" s="8" t="inlineStr">
        <is>
          <t>论述</t>
        </is>
      </c>
      <c r="C30" s="9" t="inlineStr">
        <is>
          <t>论述唐诗繁荣的原因</t>
        </is>
      </c>
      <c r="D30" s="8" t="n">
        <v>20</v>
      </c>
      <c r="E30" s="9" t="inlineStr">
        <is>
          <t>①经济繁荣与国力强盛提供物质基础 ②政治相对开明，科举以诗赋取士 ③文化交融：胡汉融合与中外交流带来新题材新气象 ④前代诗歌积累，格律在初唐定型 ⑤帝王提倡与文人群体唱和风气 ⑥诗歌自身发展规律与文体演进 ⑦结果：数量与质量并盛，体裁大备，流派纷呈</t>
        </is>
      </c>
      <c r="F30" s="9" t="inlineStr">
        <is>
          <t>分条论述，每条给出机制而非口号 → 归结为内外因结合</t>
        </is>
      </c>
      <c r="G30" s="9" t="inlineStr">
        <is>
          <t>只写「经济繁荣」一条反复铺陈；把唐诗繁荣全归于科举（须说明是重要而非唯一原因）</t>
        </is>
      </c>
    </row>
    <row r="31" ht="88" customHeight="1">
      <c r="A31" s="8" t="n">
        <v>30</v>
      </c>
      <c r="B31" s="8" t="inlineStr">
        <is>
          <t>论述</t>
        </is>
      </c>
      <c r="C31" s="9" t="inlineStr">
        <is>
          <t>论述杜甫诗歌的集大成表现</t>
        </is>
      </c>
      <c r="D31" s="8" t="n">
        <v>20</v>
      </c>
      <c r="E31" s="9" t="inlineStr">
        <is>
          <t>①集前代诗歌之大成：承《诗经》现实主义、汉乐府叙事、汉魏风骨、六朝声律 ②体裁大备，五古、七律尤为精工 ③题材广阔：时事、山水、咏物、题画、民情、怀人 ④艺术上叙事、抒情、议论熔于一炉 ⑤语言精严，「语不惊人死不休」 ⑥风格沉郁顿挫 ⑦被称「诗圣」，诗作被称为「诗史」</t>
        </is>
      </c>
      <c r="F31" s="9" t="inlineStr">
        <is>
          <t>总说集大成 → 分「内容」「体裁」「艺术」「语言」「影响」层 → 结论</t>
        </is>
      </c>
      <c r="G31" s="9" t="inlineStr">
        <is>
          <t>把「诗史」说成杜甫自称；说杜甫只擅长七律</t>
        </is>
      </c>
    </row>
    <row r="32" ht="88" customHeight="1">
      <c r="A32" s="8" t="n">
        <v>31</v>
      </c>
      <c r="B32" s="8" t="inlineStr">
        <is>
          <t>论述</t>
        </is>
      </c>
      <c r="C32" s="9" t="inlineStr">
        <is>
          <t>论述宋词发展中的豪放与婉约</t>
        </is>
      </c>
      <c r="D32" s="8" t="n">
        <v>20</v>
      </c>
      <c r="E32" s="9" t="inlineStr">
        <is>
          <t>①婉约：柳永、李清照、秦观等，多写儿女之情，音律谐美、细腻含蓄 ②豪放：苏轼、辛弃疾等，题材扩大、气象阔大，「以诗为词」「以文为词」 ③二者并非绝对对立，同一作家常兼有二体（如苏轼《江城子》、李清照《渔家傲》） ④词史演进：由北宋到南宋，由苏到辛，豪放派不断深化 ⑤两类词风共同构成宋词全貌，各有不可替代的审美价值</t>
        </is>
      </c>
      <c r="F32" s="9" t="inlineStr">
        <is>
          <t>两派分述（代表＋题材＋风格）→ 辨析二者关系 → 词史演进 → 评价</t>
        </is>
      </c>
      <c r="G32" s="9" t="inlineStr">
        <is>
          <t>简单二元对立化，说苏轼不作婉约词；把李清照归为豪放派</t>
        </is>
      </c>
    </row>
    <row r="33" ht="88" customHeight="1">
      <c r="A33" s="8" t="n">
        <v>32</v>
      </c>
      <c r="B33" s="8" t="inlineStr">
        <is>
          <t>论述</t>
        </is>
      </c>
      <c r="C33" s="9" t="inlineStr">
        <is>
          <t>论述《牡丹亭》的主题与艺术特色</t>
        </is>
      </c>
      <c r="D33" s="8" t="n">
        <v>20</v>
      </c>
      <c r="E33" s="9" t="inlineStr">
        <is>
          <t>①主题：「情」与「理」的冲突，以情抗理 ②「情不知所起，一往而深，生者可以死，死可以生」的至情观 ③人物：杜丽娘由觉醒到抗争，柳梦梅形象 ④艺术：浪漫主义构思（梦—死—还魂三重转折） ⑤曲辞华美，〈惊梦〉〈寻梦〉等折的抒情成就 ⑥心理刻画细腻，情景交融 ⑦时代意义：呼应晚明个性解放思潮</t>
        </is>
      </c>
      <c r="F33" s="9" t="inlineStr">
        <is>
          <t>主题分层 → 人物分析 → 艺术特色分层 → 时代意义</t>
        </is>
      </c>
      <c r="G33" s="9" t="inlineStr">
        <is>
          <t>把《牡丹亭》说成杂剧（实为传奇）；情节顺序错乱</t>
        </is>
      </c>
    </row>
    <row r="34" ht="88" customHeight="1">
      <c r="A34" s="8" t="n">
        <v>33</v>
      </c>
      <c r="B34" s="8" t="inlineStr">
        <is>
          <t>论述</t>
        </is>
      </c>
      <c r="C34" s="9" t="inlineStr">
        <is>
          <t>论述《儒林外史》的讽刺艺术</t>
        </is>
      </c>
      <c r="D34" s="8" t="n">
        <v>20</v>
      </c>
      <c r="E34" s="9" t="inlineStr">
        <is>
          <t>①讽刺的写实性：不夸饰、不谩骂，以白描与客观叙述见长 ②悲喜结合，冷峻中见沉痛 ③讽刺通过情节与细节自然流露，作者不直接评论 ④典型形象：范进、严监生、匡超人、马二先生 ⑤结构上「虽云长篇，颇同短制」，以人物递接连缀 ⑥对晚清谴责小说的深远影响</t>
        </is>
      </c>
      <c r="F34" s="9" t="inlineStr">
        <is>
          <t>总说讽刺特点 → 手法分层（写实、白描、悲喜结合）→ 人物例证 → 结构 → 影响</t>
        </is>
      </c>
      <c r="G34" s="9" t="inlineStr">
        <is>
          <t>把《儒林外史》说成章回体英雄传奇；人物与情节错配</t>
        </is>
      </c>
    </row>
    <row r="35" ht="88" customHeight="1">
      <c r="A35" s="8" t="n">
        <v>34</v>
      </c>
      <c r="B35" s="8" t="inlineStr">
        <is>
          <t>论述</t>
        </is>
      </c>
      <c r="C35" s="9" t="inlineStr">
        <is>
          <t>论述《红楼梦》的叙事艺术</t>
        </is>
      </c>
      <c r="D35" s="8" t="n">
        <v>20</v>
      </c>
      <c r="E35" s="9" t="inlineStr">
        <is>
          <t>①多线交织的网状结构，以宝黛爱情与家族兴衰为主干 ②草蛇灰线、伏笔与谶语预示结局 ③神话框架与「真假」设置（太虚幻境、木石前盟）拓展叙事层次 ④日常生活描写中寄寓深刻悲剧性 ⑤对话高度个性化，心理描写细腻 ⑥悲剧结局的必然性，由人物性格与环境共同推动 ⑦叙事视角的灵活转换与「无我」叙述</t>
        </is>
      </c>
      <c r="F35" s="9" t="inlineStr">
        <is>
          <t>结构 → 伏笔谶语 → 神话框架 → 日常与悲剧 → 人物语言心理 → 结局逻辑</t>
        </is>
      </c>
      <c r="G35" s="9" t="inlineStr">
        <is>
          <t>把后四十回作者问题说死；说《红楼梦》为单一线性叙事</t>
        </is>
      </c>
    </row>
    <row r="36" ht="88" customHeight="1">
      <c r="A36" s="8" t="n">
        <v>35</v>
      </c>
      <c r="B36" s="8" t="inlineStr">
        <is>
          <t>论述</t>
        </is>
      </c>
      <c r="C36" s="9" t="inlineStr">
        <is>
          <t>论述中国古代小说从唐传奇到明清长篇的演进</t>
        </is>
      </c>
      <c r="D36" s="8" t="n">
        <v>20</v>
      </c>
      <c r="E36" s="9" t="inlineStr">
        <is>
          <t>①唐传奇：文人自觉创作，情节完整、人物鲜明（《莺莺传》《李娃传》《霍小玉传》） ②宋元话本：白话体制、市井题材，奠定章回与白话小说基础 ③元明讲史与英雄传奇：《三国演义》《水浒传》 ④明代神魔（《西游记》）与世情（《金瓶梅》）双线展开 ⑤清代《儒林外史》《红楼梦》走向文人独立创作与艺术高峰 ⑥演进动因：城市经济发展、印刷业兴盛、市民文化需求、文人参与</t>
        </is>
      </c>
      <c r="F36" s="9" t="inlineStr">
        <is>
          <t>按时代分阶段，每阶段给出代表作＋文体特征 → 归结演进动因与趋势</t>
        </is>
      </c>
      <c r="G36" s="9" t="inlineStr">
        <is>
          <t>把《金瓶梅》说成明代以前作品；把话本与传奇混同</t>
        </is>
      </c>
    </row>
    <row r="37" ht="88" customHeight="1">
      <c r="A37" s="8" t="n">
        <v>36</v>
      </c>
      <c r="B37" s="8" t="inlineStr">
        <is>
          <t>翻译鉴赏</t>
        </is>
      </c>
      <c r="C37" s="9" t="inlineStr">
        <is>
          <t>翻译并赏析《诗经·氓》「桑之未落，其叶沃若……士也罔极，二三其德」一节</t>
        </is>
      </c>
      <c r="D37" s="8" t="n">
        <v>15</v>
      </c>
      <c r="E37" s="9" t="inlineStr">
        <is>
          <t>①准确释词：沃若（润泽貌）、于嗟（叹词）、无食桑葚（勿贪食）、耽（沉溺）、陨（坠落）、徂尔（嫁到你家）、罔极（没有准则）、二三其德（三心二意） ②译文通顺且保留诗意与四言节奏 ③指出「桑」的比兴：以桑叶沃若喻女子容色之美与爱情盛时，以桑落黄陨喻色衰爱弛 ④分析弃妇自述的情感层次：追忆—怨悔—决绝 ⑤联系全诗主题：婚恋悲剧与女性处境</t>
        </is>
      </c>
      <c r="F37" s="9" t="inlineStr">
        <is>
          <t>逐句释词翻译 → 指出比兴与象征 → 情感脉络 → 主题关联</t>
        </is>
      </c>
      <c r="G37" s="9" t="inlineStr">
        <is>
          <t>释词错误（如把「耽」解为「耽误」）；把「桑」只当景物描写，漏掉比兴</t>
        </is>
      </c>
    </row>
    <row r="38" ht="88" customHeight="1">
      <c r="A38" s="8" t="n">
        <v>37</v>
      </c>
      <c r="B38" s="8" t="inlineStr">
        <is>
          <t>翻译鉴赏</t>
        </is>
      </c>
      <c r="C38" s="9" t="inlineStr">
        <is>
          <t>翻译《左传·郑伯克段于鄢》首段（「初，郑武公娶于申……公弗许」）并分析其叙事特点</t>
        </is>
      </c>
      <c r="D38" s="8" t="n">
        <v>15</v>
      </c>
      <c r="E38" s="9" t="inlineStr">
        <is>
          <t>①准确释词：初（追叙）、娶于申（介词结构后置）、曰武姜（谥号由来）、寤生（逆生）、惊姜氏（使动）、遂恶之、亟请（屡次请求）、弗许 ②译文准确通顺 ③叙事特点：开篇以「初」追叙缘由，交代矛盾根源 ④以事见人，一字寓褒贬（「恶之」「爱共叔段」） ⑤为后文母子兄弟相争埋下伏笔，结构上总起全篇</t>
        </is>
      </c>
      <c r="F38" s="9" t="inlineStr">
        <is>
          <t>释词翻译 → 指出「初」的叙事功能 → 人物与矛盾铺垫 → 伏笔与结构作用</t>
        </is>
      </c>
      <c r="G38" s="9" t="inlineStr">
        <is>
          <t>把「寤生」解释成「难产而亡」；把「亟请」解为「急切请求」</t>
        </is>
      </c>
    </row>
    <row r="39" ht="88" customHeight="1">
      <c r="A39" s="8" t="n">
        <v>38</v>
      </c>
      <c r="B39" s="8" t="inlineStr">
        <is>
          <t>翻译鉴赏</t>
        </is>
      </c>
      <c r="C39" s="9" t="inlineStr">
        <is>
          <t>赏析王维《山居秋暝》</t>
        </is>
      </c>
      <c r="D39" s="8" t="n">
        <v>15</v>
      </c>
      <c r="E39" s="9" t="inlineStr">
        <is>
          <t>①意境营造：「空山新雨后，天气晚来秋」的清空澄澈 ②诗中有画：明月松间照、清泉石上流，光影与声响并置 ③动静结合、视听结合，颔联颈联对仗工整、炼字精当 ④由景及人：「竹喧归浣女，莲动下渔舟」以动衬静，见生活气息 ⑤尾联用典（《楚辞·招隐士》「王孙兮归来，山中兮不可以久留」）反其意而用之，表明归隐之志 ⑥禅意与山水诗成就，体现盛唐山水田园诗派风格</t>
        </is>
      </c>
      <c r="F39" s="9" t="inlineStr">
        <is>
          <t>逐联串讲 → 艺术手法（动静、视听、对仗、炼字）→ 用典与主旨 → 诗史评价</t>
        </is>
      </c>
      <c r="G39" s="9" t="inlineStr">
        <is>
          <t>把尾联用典说成出处不明或编造篇名；说王维此诗表达思乡之情</t>
        </is>
      </c>
    </row>
    <row r="40" ht="88" customHeight="1">
      <c r="A40" s="8" t="n">
        <v>39</v>
      </c>
      <c r="B40" s="8" t="inlineStr">
        <is>
          <t>翻译鉴赏</t>
        </is>
      </c>
      <c r="C40" s="9" t="inlineStr">
        <is>
          <t>赏析李商隐《锦瑟》</t>
        </is>
      </c>
      <c r="D40" s="8" t="n">
        <v>15</v>
      </c>
      <c r="E40" s="9" t="inlineStr">
        <is>
          <t>①主旨多解：悼亡说、自伤身世说、编集自序说，需说明多义性 ②首联以「锦瑟无端五十弦」起兴，奠定怅惘基调 ③颔联用庄生梦蝶、望帝托鹃典，写迷惘与哀怨 ④颈联写鲛人泣珠、蓝田玉烟典，寄托凄美与可望不可即 ⑤对仗工整而意象叠加，形成朦胧多义的艺术特征 ⑥尾联「此情可待成追忆，只是当时已惘然」收束全篇，情感回旋</t>
        </is>
      </c>
      <c r="F40" s="9" t="inlineStr">
        <is>
          <t>点明多义性 → 逐联解析意象与典故 → 概括艺术特征（朦胧、多义、用典）→ 情感基调</t>
        </is>
      </c>
      <c r="G40" s="9" t="inlineStr">
        <is>
          <t>断言唯一主旨并排除他说；把典故出处说错（如说「望帝」出自《庄子》）</t>
        </is>
      </c>
    </row>
    <row r="41" ht="88" customHeight="1">
      <c r="A41" s="8" t="n">
        <v>40</v>
      </c>
      <c r="B41" s="8" t="inlineStr">
        <is>
          <t>翻译鉴赏</t>
        </is>
      </c>
      <c r="C41" s="9" t="inlineStr">
        <is>
          <t>赏析苏轼《念奴娇·赤壁怀古》</t>
        </is>
      </c>
      <c r="D41" s="8" t="n">
        <v>15</v>
      </c>
      <c r="E41" s="9" t="inlineStr">
        <is>
          <t>①上片写景：大江东去、乱石穿空、惊涛拍岸，气势雄浑，境界阔大 ②「江山如画，一时多少豪杰」承上启下 ③下片怀古：以「小乔初嫁」烘托周瑜的风流儒雅、少年得志 ④自我对照：「多情应笑我，早生华发」，豪放中见失意 ⑤结句「人生如梦，一尊还酹江月」含旷达与无奈双重意味 ⑥豪放词代表作，「以诗为词」的典型，开拓词的题材与气象</t>
        </is>
      </c>
      <c r="F41" s="9" t="inlineStr">
        <is>
          <t>上下片分层串讲 → 人物形象与自我对照 → 结句双重意蕴 → 词史地位</t>
        </is>
      </c>
      <c r="G41" s="9" t="inlineStr">
        <is>
          <t>把「羽扇纶巾」的对象说成诸葛亮（此处指周瑜）；把结句只解为消极颓废</t>
        </is>
      </c>
    </row>
  </sheetData>
  <autoFilter ref="A1:G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33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B1" s="10" t="inlineStr">
        <is>
          <t>评分口径（6 维度 × 0–3 分制，总分 = 得分/18×100）</t>
        </is>
      </c>
    </row>
    <row r="3">
      <c r="B3" s="7" t="inlineStr">
        <is>
          <t>维度</t>
        </is>
      </c>
      <c r="C3" s="7" t="inlineStr">
        <is>
          <t>定义（看什么）</t>
        </is>
      </c>
      <c r="D3" s="7" t="inlineStr">
        <is>
          <t>3 分</t>
        </is>
      </c>
      <c r="E3" s="7" t="inlineStr">
        <is>
          <t>2 分</t>
        </is>
      </c>
      <c r="F3" s="7" t="inlineStr">
        <is>
          <t>1 分</t>
        </is>
      </c>
      <c r="G3" s="7" t="inlineStr">
        <is>
          <t>0 分</t>
        </is>
      </c>
    </row>
    <row r="4" ht="40" customHeight="1">
      <c r="B4" s="11" t="inlineStr">
        <is>
          <t>① 考点覆盖</t>
        </is>
      </c>
      <c r="C4" s="6" t="inlineStr">
        <is>
          <t>是否命中「应命中考点」列的核心采分点</t>
        </is>
      </c>
      <c r="D4" s="12" t="inlineStr">
        <is>
          <t>全部核心考点命中</t>
        </is>
      </c>
      <c r="E4" s="12" t="inlineStr">
        <is>
          <t>命中大部分，遗漏非关键点</t>
        </is>
      </c>
      <c r="F4" s="12" t="inlineStr">
        <is>
          <t>遗漏 1–2 个关键考点</t>
        </is>
      </c>
      <c r="G4" s="12" t="inlineStr">
        <is>
          <t>答非所问或几乎未命中</t>
        </is>
      </c>
    </row>
    <row r="5" ht="40" customHeight="1">
      <c r="B5" s="11" t="inlineStr">
        <is>
          <t>② 知识准确性</t>
        </is>
      </c>
      <c r="C5" s="6" t="inlineStr">
        <is>
          <t>年代、作者、作品、流派归属等事实是否有硬伤</t>
        </is>
      </c>
      <c r="D5" s="12" t="inlineStr">
        <is>
          <t>无任何事实错误</t>
        </is>
      </c>
      <c r="E5" s="12" t="inlineStr">
        <is>
          <t>有细微瑕疵不影响判断</t>
        </is>
      </c>
      <c r="F5" s="12" t="inlineStr">
        <is>
          <t>有 1 处明显硬伤</t>
        </is>
      </c>
      <c r="G5" s="12" t="inlineStr">
        <is>
          <t>多处硬伤，结论不可用</t>
        </is>
      </c>
    </row>
    <row r="6" ht="40" customHeight="1">
      <c r="B6" s="11" t="inlineStr">
        <is>
          <t>③ 出处引用准确</t>
        </is>
      </c>
      <c r="C6" s="6" t="inlineStr">
        <is>
          <t>所引原文、篇名、作者、书名是否真实可核</t>
        </is>
      </c>
      <c r="D6" s="12" t="inlineStr">
        <is>
          <t>引用均可核且标注完整</t>
        </is>
      </c>
      <c r="E6" s="12" t="inlineStr">
        <is>
          <t>引用正确但标注不全</t>
        </is>
      </c>
      <c r="F6" s="12" t="inlineStr">
        <is>
          <t>引用含糊、无法核实</t>
        </is>
      </c>
      <c r="G6" s="12" t="inlineStr">
        <is>
          <t>编造出处/篇名/文献</t>
        </is>
      </c>
    </row>
    <row r="7" ht="40" customHeight="1">
      <c r="B7" s="11" t="inlineStr">
        <is>
          <t>④ 结构层次</t>
        </is>
      </c>
      <c r="C7" s="6" t="inlineStr">
        <is>
          <t>是否符合题型要求的答题结构</t>
        </is>
      </c>
      <c r="D7" s="12" t="inlineStr">
        <is>
          <t>结构完整，层次分明</t>
        </is>
      </c>
      <c r="E7" s="12" t="inlineStr">
        <is>
          <t>结构基本清晰</t>
        </is>
      </c>
      <c r="F7" s="12" t="inlineStr">
        <is>
          <t>结构松散或部分混乱</t>
        </is>
      </c>
      <c r="G7" s="12" t="inlineStr">
        <is>
          <t>无结构，堆砌内容</t>
        </is>
      </c>
    </row>
    <row r="8" ht="40" customHeight="1">
      <c r="B8" s="11" t="inlineStr">
        <is>
          <t>⑤ 语体规范</t>
        </is>
      </c>
      <c r="C8" s="6" t="inlineStr">
        <is>
          <t>学术书面语、术语使用、无口语化与空话</t>
        </is>
      </c>
      <c r="D8" s="12" t="inlineStr">
        <is>
          <t>术语得当，表述专业</t>
        </is>
      </c>
      <c r="E8" s="12" t="inlineStr">
        <is>
          <t>偶有口语化</t>
        </is>
      </c>
      <c r="F8" s="12" t="inlineStr">
        <is>
          <t>大量套话或口语</t>
        </is>
      </c>
      <c r="G8" s="12" t="inlineStr">
        <is>
          <t>完全不符学术语体</t>
        </is>
      </c>
    </row>
    <row r="9" ht="40" customHeight="1">
      <c r="B9" s="11" t="inlineStr">
        <is>
          <t>⑥ 题型合规</t>
        </is>
      </c>
      <c r="C9" s="6" t="inlineStr">
        <is>
          <t>名词解释要简练有要素；简答要分条；论述要有论点论据；翻译要逐句落实</t>
        </is>
      </c>
      <c r="D9" s="12" t="inlineStr">
        <is>
          <t>完全符合题型要求</t>
        </is>
      </c>
      <c r="E9" s="12" t="inlineStr">
        <is>
          <t>基本符合，略有偏差</t>
        </is>
      </c>
      <c r="F9" s="12" t="inlineStr">
        <is>
          <t>明显偏离题型要求</t>
        </is>
      </c>
      <c r="G9" s="12" t="inlineStr">
        <is>
          <t>完全不是该题型的答法</t>
        </is>
      </c>
    </row>
    <row r="11">
      <c r="B11" s="3" t="inlineStr">
        <is>
          <t>按题型的评分重点（同分时的取舍依据）</t>
        </is>
      </c>
      <c r="C11" s="4" t="n"/>
    </row>
    <row r="12">
      <c r="B12" s="7" t="inlineStr">
        <is>
          <t>题型</t>
        </is>
      </c>
      <c r="C12" s="7" t="inlineStr">
        <is>
          <t>优先看哪些维度</t>
        </is>
      </c>
      <c r="D12" s="7" t="inlineStr">
        <is>
          <t>同分取舍规则</t>
        </is>
      </c>
      <c r="E12" s="7" t="inlineStr">
        <is>
          <t>失分最重的情况</t>
        </is>
      </c>
    </row>
    <row r="13" ht="26" customHeight="1">
      <c r="B13" s="12" t="inlineStr">
        <is>
          <t>名词解释</t>
        </is>
      </c>
      <c r="C13" s="12" t="inlineStr">
        <is>
          <t>①②③</t>
        </is>
      </c>
      <c r="D13" s="6" t="inlineStr">
        <is>
          <t>要素齐全者优先于字数多者</t>
        </is>
      </c>
      <c r="E13" s="6" t="inlineStr">
        <is>
          <t>缺「文学史影响」或编造出处</t>
        </is>
      </c>
    </row>
    <row r="14" ht="26" customHeight="1">
      <c r="B14" s="12" t="inlineStr">
        <is>
          <t>简答</t>
        </is>
      </c>
      <c r="C14" s="12" t="inlineStr">
        <is>
          <t>①④</t>
        </is>
      </c>
      <c r="D14" s="6" t="inlineStr">
        <is>
          <t>分条清晰、要点准确者优先</t>
        </is>
      </c>
      <c r="E14" s="6" t="inlineStr">
        <is>
          <t>要点遗漏或未分条</t>
        </is>
      </c>
    </row>
    <row r="15" ht="26" customHeight="1">
      <c r="B15" s="12" t="inlineStr">
        <is>
          <t>论述</t>
        </is>
      </c>
      <c r="C15" s="12" t="inlineStr">
        <is>
          <t>①④⑤</t>
        </is>
      </c>
      <c r="D15" s="6" t="inlineStr">
        <is>
          <t>有中心论点并分层论证者优先</t>
        </is>
      </c>
      <c r="E15" s="6" t="inlineStr">
        <is>
          <t>只罗列不论证</t>
        </is>
      </c>
    </row>
    <row r="16" ht="26" customHeight="1">
      <c r="B16" s="12" t="inlineStr">
        <is>
          <t>翻译鉴赏</t>
        </is>
      </c>
      <c r="C16" s="12" t="inlineStr">
        <is>
          <t>①②③</t>
        </is>
      </c>
      <c r="D16" s="6" t="inlineStr">
        <is>
          <t>释词准确、指出比兴典故者优先</t>
        </is>
      </c>
      <c r="E16" s="6" t="inlineStr">
        <is>
          <t>释词错误或典故编造</t>
        </is>
      </c>
    </row>
    <row r="18">
      <c r="B18" s="3" t="inlineStr">
        <is>
          <t>幻觉类型（填在「评分记录」的「幻觉类型」列，可多选拼接）</t>
        </is>
      </c>
      <c r="C18" s="4" t="n"/>
    </row>
    <row r="19">
      <c r="B19" s="13" t="inlineStr">
        <is>
          <t>1. 无</t>
        </is>
      </c>
    </row>
    <row r="20">
      <c r="B20" s="13" t="inlineStr">
        <is>
          <t>2. 编造原文或篇名</t>
        </is>
      </c>
    </row>
    <row r="21">
      <c r="B21" s="13" t="inlineStr">
        <is>
          <t>3. 张冠李戴（作者/作品错配）</t>
        </is>
      </c>
    </row>
    <row r="22">
      <c r="B22" s="13" t="inlineStr">
        <is>
          <t>4. 时代错乱（年代/朝代错误）</t>
        </is>
      </c>
    </row>
    <row r="23">
      <c r="B23" s="13" t="inlineStr">
        <is>
          <t>5. 虚构情节或人物</t>
        </is>
      </c>
    </row>
    <row r="24">
      <c r="B24" s="13" t="inlineStr">
        <is>
          <t>6. 杜撰文献或研究者</t>
        </is>
      </c>
    </row>
    <row r="25">
      <c r="B25" s="13" t="inlineStr">
        <is>
          <t>7. 过度臆断（无据的评价）</t>
        </is>
      </c>
    </row>
    <row r="27">
      <c r="B27" s="3" t="inlineStr">
        <is>
          <t>评分流程（6 步）</t>
        </is>
      </c>
      <c r="C27" s="4" t="n"/>
    </row>
    <row r="28" ht="22" customHeight="1">
      <c r="B28" s="14" t="inlineStr">
        <is>
          <t>1. 用同一个提示词，对每道题分别调用「裸模型」和「你的 Agent」，共 80 次，各自存成独立文本文件。</t>
        </is>
      </c>
    </row>
    <row r="29" ht="22" customHeight="1">
      <c r="B29" s="14" t="inlineStr">
        <is>
          <t>2. 打乱文件名、隐去来源，做盲评（这一步决定数据可不可信，面试官必问）。</t>
        </is>
      </c>
    </row>
    <row r="30" ht="22" customHeight="1">
      <c r="B30" s="14" t="inlineStr">
        <is>
          <t>3. 按上面 6 个维度打 0–3 分，填进「评分记录」。</t>
        </is>
      </c>
    </row>
    <row r="31" ht="22" customHeight="1">
      <c r="B31" s="14" t="inlineStr">
        <is>
          <t>4. 统计每份回答的幻觉次数与类型。</t>
        </is>
      </c>
    </row>
    <row r="32" ht="22" customHeight="1">
      <c r="B32" s="14" t="inlineStr">
        <is>
          <t>5. 打开「汇总对比」，自动得到两组平均分差异与提升幅度。</t>
        </is>
      </c>
    </row>
    <row r="33" ht="22" customHeight="1">
      <c r="B33" s="14" t="inlineStr">
        <is>
          <t>6. 挑差异最大的 5 道题做 badcase 归因，写进复盘长文（这比全赢更可信）。</t>
        </is>
      </c>
    </row>
  </sheetData>
  <mergeCells count="6">
    <mergeCell ref="B28:G28"/>
    <mergeCell ref="B31:G31"/>
    <mergeCell ref="B32:G32"/>
    <mergeCell ref="B30:G30"/>
    <mergeCell ref="B29:G29"/>
    <mergeCell ref="B33:G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9" customWidth="1" min="4" max="4"/>
    <col width="11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9" customWidth="1" min="13" max="13"/>
    <col width="22" customWidth="1" min="14" max="14"/>
    <col width="40" customWidth="1" min="15" max="15"/>
  </cols>
  <sheetData>
    <row r="1" ht="40" customHeight="1">
      <c r="A1" s="7" t="inlineStr">
        <is>
          <t>题号</t>
        </is>
      </c>
      <c r="B1" s="7" t="inlineStr">
        <is>
          <t>题型</t>
        </is>
      </c>
      <c r="C1" s="7" t="inlineStr">
        <is>
          <t>被测对象</t>
        </is>
      </c>
      <c r="D1" s="7" t="inlineStr">
        <is>
          <t>评分员</t>
        </is>
      </c>
      <c r="E1" s="7" t="inlineStr">
        <is>
          <t>评分日期</t>
        </is>
      </c>
      <c r="F1" s="7" t="inlineStr">
        <is>
          <t>①考点覆盖</t>
        </is>
      </c>
      <c r="G1" s="7" t="inlineStr">
        <is>
          <t>②知识准确性</t>
        </is>
      </c>
      <c r="H1" s="7" t="inlineStr">
        <is>
          <t>③出处引用</t>
        </is>
      </c>
      <c r="I1" s="7" t="inlineStr">
        <is>
          <t>④结构层次</t>
        </is>
      </c>
      <c r="J1" s="7" t="inlineStr">
        <is>
          <t>⑤语体规范</t>
        </is>
      </c>
      <c r="K1" s="7" t="inlineStr">
        <is>
          <t>⑥题型合规</t>
        </is>
      </c>
      <c r="L1" s="7" t="inlineStr">
        <is>
          <t>总分(百分制)</t>
        </is>
      </c>
      <c r="M1" s="7" t="inlineStr">
        <is>
          <t>幻觉次数</t>
        </is>
      </c>
      <c r="N1" s="7" t="inlineStr">
        <is>
          <t>幻觉类型</t>
        </is>
      </c>
      <c r="O1" s="7" t="inlineStr">
        <is>
          <t>结论 / 备注</t>
        </is>
      </c>
    </row>
    <row r="2">
      <c r="A2" s="12" t="n">
        <v>1</v>
      </c>
      <c r="B2" s="12" t="inlineStr">
        <is>
          <t>名词解释</t>
        </is>
      </c>
      <c r="C2" s="12" t="inlineStr">
        <is>
          <t>裸模型</t>
        </is>
      </c>
      <c r="D2" s="12" t="inlineStr"/>
      <c r="E2" s="15" t="n"/>
      <c r="F2" s="12" t="n"/>
      <c r="G2" s="12" t="n"/>
      <c r="H2" s="12" t="n"/>
      <c r="I2" s="12" t="n"/>
      <c r="J2" s="12" t="n"/>
      <c r="K2" s="12" t="n"/>
      <c r="L2" s="16">
        <f>IF(COUNT(F2:K2)=0,"",ROUND(SUM(F2:K2)/18*100,1))</f>
        <v/>
      </c>
      <c r="M2" s="12" t="n"/>
      <c r="N2" s="6" t="n"/>
      <c r="O2" s="6" t="n"/>
    </row>
    <row r="3">
      <c r="A3" s="12" t="n">
        <v>2</v>
      </c>
      <c r="B3" s="12" t="inlineStr">
        <is>
          <t>名词解释</t>
        </is>
      </c>
      <c r="C3" s="12" t="inlineStr">
        <is>
          <t>裸模型</t>
        </is>
      </c>
      <c r="D3" s="12" t="inlineStr"/>
      <c r="E3" s="15" t="n"/>
      <c r="F3" s="12" t="n"/>
      <c r="G3" s="12" t="n"/>
      <c r="H3" s="12" t="n"/>
      <c r="I3" s="12" t="n"/>
      <c r="J3" s="12" t="n"/>
      <c r="K3" s="12" t="n"/>
      <c r="L3" s="16">
        <f>IF(COUNT(F3:K3)=0,"",ROUND(SUM(F3:K3)/18*100,1))</f>
        <v/>
      </c>
      <c r="M3" s="12" t="n"/>
      <c r="N3" s="6" t="n"/>
      <c r="O3" s="6" t="n"/>
    </row>
    <row r="4">
      <c r="A4" s="12" t="n">
        <v>3</v>
      </c>
      <c r="B4" s="12" t="inlineStr">
        <is>
          <t>名词解释</t>
        </is>
      </c>
      <c r="C4" s="12" t="inlineStr">
        <is>
          <t>裸模型</t>
        </is>
      </c>
      <c r="D4" s="12" t="inlineStr"/>
      <c r="E4" s="15" t="n"/>
      <c r="F4" s="12" t="n"/>
      <c r="G4" s="12" t="n"/>
      <c r="H4" s="12" t="n"/>
      <c r="I4" s="12" t="n"/>
      <c r="J4" s="12" t="n"/>
      <c r="K4" s="12" t="n"/>
      <c r="L4" s="16">
        <f>IF(COUNT(F4:K4)=0,"",ROUND(SUM(F4:K4)/18*100,1))</f>
        <v/>
      </c>
      <c r="M4" s="12" t="n"/>
      <c r="N4" s="6" t="n"/>
      <c r="O4" s="6" t="n"/>
    </row>
    <row r="5">
      <c r="A5" s="12" t="n">
        <v>4</v>
      </c>
      <c r="B5" s="12" t="inlineStr">
        <is>
          <t>名词解释</t>
        </is>
      </c>
      <c r="C5" s="12" t="inlineStr">
        <is>
          <t>裸模型</t>
        </is>
      </c>
      <c r="D5" s="12" t="inlineStr"/>
      <c r="E5" s="15" t="n"/>
      <c r="F5" s="12" t="n"/>
      <c r="G5" s="12" t="n"/>
      <c r="H5" s="12" t="n"/>
      <c r="I5" s="12" t="n"/>
      <c r="J5" s="12" t="n"/>
      <c r="K5" s="12" t="n"/>
      <c r="L5" s="16">
        <f>IF(COUNT(F5:K5)=0,"",ROUND(SUM(F5:K5)/18*100,1))</f>
        <v/>
      </c>
      <c r="M5" s="12" t="n"/>
      <c r="N5" s="6" t="n"/>
      <c r="O5" s="6" t="n"/>
    </row>
    <row r="6">
      <c r="A6" s="12" t="n">
        <v>5</v>
      </c>
      <c r="B6" s="12" t="inlineStr">
        <is>
          <t>名词解释</t>
        </is>
      </c>
      <c r="C6" s="12" t="inlineStr">
        <is>
          <t>裸模型</t>
        </is>
      </c>
      <c r="D6" s="12" t="inlineStr"/>
      <c r="E6" s="15" t="n"/>
      <c r="F6" s="12" t="n"/>
      <c r="G6" s="12" t="n"/>
      <c r="H6" s="12" t="n"/>
      <c r="I6" s="12" t="n"/>
      <c r="J6" s="12" t="n"/>
      <c r="K6" s="12" t="n"/>
      <c r="L6" s="16">
        <f>IF(COUNT(F6:K6)=0,"",ROUND(SUM(F6:K6)/18*100,1))</f>
        <v/>
      </c>
      <c r="M6" s="12" t="n"/>
      <c r="N6" s="6" t="n"/>
      <c r="O6" s="6" t="n"/>
    </row>
    <row r="7">
      <c r="A7" s="12" t="n">
        <v>6</v>
      </c>
      <c r="B7" s="12" t="inlineStr">
        <is>
          <t>名词解释</t>
        </is>
      </c>
      <c r="C7" s="12" t="inlineStr">
        <is>
          <t>裸模型</t>
        </is>
      </c>
      <c r="D7" s="12" t="inlineStr"/>
      <c r="E7" s="15" t="n"/>
      <c r="F7" s="12" t="n"/>
      <c r="G7" s="12" t="n"/>
      <c r="H7" s="12" t="n"/>
      <c r="I7" s="12" t="n"/>
      <c r="J7" s="12" t="n"/>
      <c r="K7" s="12" t="n"/>
      <c r="L7" s="16">
        <f>IF(COUNT(F7:K7)=0,"",ROUND(SUM(F7:K7)/18*100,1))</f>
        <v/>
      </c>
      <c r="M7" s="12" t="n"/>
      <c r="N7" s="6" t="n"/>
      <c r="O7" s="6" t="n"/>
    </row>
    <row r="8">
      <c r="A8" s="12" t="n">
        <v>7</v>
      </c>
      <c r="B8" s="12" t="inlineStr">
        <is>
          <t>名词解释</t>
        </is>
      </c>
      <c r="C8" s="12" t="inlineStr">
        <is>
          <t>裸模型</t>
        </is>
      </c>
      <c r="D8" s="12" t="inlineStr"/>
      <c r="E8" s="15" t="n"/>
      <c r="F8" s="12" t="n"/>
      <c r="G8" s="12" t="n"/>
      <c r="H8" s="12" t="n"/>
      <c r="I8" s="12" t="n"/>
      <c r="J8" s="12" t="n"/>
      <c r="K8" s="12" t="n"/>
      <c r="L8" s="16">
        <f>IF(COUNT(F8:K8)=0,"",ROUND(SUM(F8:K8)/18*100,1))</f>
        <v/>
      </c>
      <c r="M8" s="12" t="n"/>
      <c r="N8" s="6" t="n"/>
      <c r="O8" s="6" t="n"/>
    </row>
    <row r="9">
      <c r="A9" s="12" t="n">
        <v>8</v>
      </c>
      <c r="B9" s="12" t="inlineStr">
        <is>
          <t>名词解释</t>
        </is>
      </c>
      <c r="C9" s="12" t="inlineStr">
        <is>
          <t>裸模型</t>
        </is>
      </c>
      <c r="D9" s="12" t="inlineStr"/>
      <c r="E9" s="15" t="n"/>
      <c r="F9" s="12" t="n"/>
      <c r="G9" s="12" t="n"/>
      <c r="H9" s="12" t="n"/>
      <c r="I9" s="12" t="n"/>
      <c r="J9" s="12" t="n"/>
      <c r="K9" s="12" t="n"/>
      <c r="L9" s="16">
        <f>IF(COUNT(F9:K9)=0,"",ROUND(SUM(F9:K9)/18*100,1))</f>
        <v/>
      </c>
      <c r="M9" s="12" t="n"/>
      <c r="N9" s="6" t="n"/>
      <c r="O9" s="6" t="n"/>
    </row>
    <row r="10">
      <c r="A10" s="12" t="n">
        <v>9</v>
      </c>
      <c r="B10" s="12" t="inlineStr">
        <is>
          <t>名词解释</t>
        </is>
      </c>
      <c r="C10" s="12" t="inlineStr">
        <is>
          <t>裸模型</t>
        </is>
      </c>
      <c r="D10" s="12" t="inlineStr"/>
      <c r="E10" s="15" t="n"/>
      <c r="F10" s="12" t="n"/>
      <c r="G10" s="12" t="n"/>
      <c r="H10" s="12" t="n"/>
      <c r="I10" s="12" t="n"/>
      <c r="J10" s="12" t="n"/>
      <c r="K10" s="12" t="n"/>
      <c r="L10" s="16">
        <f>IF(COUNT(F10:K10)=0,"",ROUND(SUM(F10:K10)/18*100,1))</f>
        <v/>
      </c>
      <c r="M10" s="12" t="n"/>
      <c r="N10" s="6" t="n"/>
      <c r="O10" s="6" t="n"/>
    </row>
    <row r="11">
      <c r="A11" s="12" t="n">
        <v>10</v>
      </c>
      <c r="B11" s="12" t="inlineStr">
        <is>
          <t>名词解释</t>
        </is>
      </c>
      <c r="C11" s="12" t="inlineStr">
        <is>
          <t>裸模型</t>
        </is>
      </c>
      <c r="D11" s="12" t="inlineStr"/>
      <c r="E11" s="15" t="n"/>
      <c r="F11" s="12" t="n"/>
      <c r="G11" s="12" t="n"/>
      <c r="H11" s="12" t="n"/>
      <c r="I11" s="12" t="n"/>
      <c r="J11" s="12" t="n"/>
      <c r="K11" s="12" t="n"/>
      <c r="L11" s="16">
        <f>IF(COUNT(F11:K11)=0,"",ROUND(SUM(F11:K11)/18*100,1))</f>
        <v/>
      </c>
      <c r="M11" s="12" t="n"/>
      <c r="N11" s="6" t="n"/>
      <c r="O11" s="6" t="n"/>
    </row>
    <row r="12">
      <c r="A12" s="12" t="n">
        <v>11</v>
      </c>
      <c r="B12" s="12" t="inlineStr">
        <is>
          <t>名词解释</t>
        </is>
      </c>
      <c r="C12" s="12" t="inlineStr">
        <is>
          <t>裸模型</t>
        </is>
      </c>
      <c r="D12" s="12" t="inlineStr"/>
      <c r="E12" s="15" t="n"/>
      <c r="F12" s="12" t="n"/>
      <c r="G12" s="12" t="n"/>
      <c r="H12" s="12" t="n"/>
      <c r="I12" s="12" t="n"/>
      <c r="J12" s="12" t="n"/>
      <c r="K12" s="12" t="n"/>
      <c r="L12" s="16">
        <f>IF(COUNT(F12:K12)=0,"",ROUND(SUM(F12:K12)/18*100,1))</f>
        <v/>
      </c>
      <c r="M12" s="12" t="n"/>
      <c r="N12" s="6" t="n"/>
      <c r="O12" s="6" t="n"/>
    </row>
    <row r="13">
      <c r="A13" s="12" t="n">
        <v>12</v>
      </c>
      <c r="B13" s="12" t="inlineStr">
        <is>
          <t>名词解释</t>
        </is>
      </c>
      <c r="C13" s="12" t="inlineStr">
        <is>
          <t>裸模型</t>
        </is>
      </c>
      <c r="D13" s="12" t="inlineStr"/>
      <c r="E13" s="15" t="n"/>
      <c r="F13" s="12" t="n"/>
      <c r="G13" s="12" t="n"/>
      <c r="H13" s="12" t="n"/>
      <c r="I13" s="12" t="n"/>
      <c r="J13" s="12" t="n"/>
      <c r="K13" s="12" t="n"/>
      <c r="L13" s="16">
        <f>IF(COUNT(F13:K13)=0,"",ROUND(SUM(F13:K13)/18*100,1))</f>
        <v/>
      </c>
      <c r="M13" s="12" t="n"/>
      <c r="N13" s="6" t="n"/>
      <c r="O13" s="6" t="n"/>
    </row>
    <row r="14">
      <c r="A14" s="12" t="n">
        <v>13</v>
      </c>
      <c r="B14" s="12" t="inlineStr">
        <is>
          <t>名词解释</t>
        </is>
      </c>
      <c r="C14" s="12" t="inlineStr">
        <is>
          <t>裸模型</t>
        </is>
      </c>
      <c r="D14" s="12" t="inlineStr"/>
      <c r="E14" s="15" t="n"/>
      <c r="F14" s="12" t="n"/>
      <c r="G14" s="12" t="n"/>
      <c r="H14" s="12" t="n"/>
      <c r="I14" s="12" t="n"/>
      <c r="J14" s="12" t="n"/>
      <c r="K14" s="12" t="n"/>
      <c r="L14" s="16">
        <f>IF(COUNT(F14:K14)=0,"",ROUND(SUM(F14:K14)/18*100,1))</f>
        <v/>
      </c>
      <c r="M14" s="12" t="n"/>
      <c r="N14" s="6" t="n"/>
      <c r="O14" s="6" t="n"/>
    </row>
    <row r="15">
      <c r="A15" s="12" t="n">
        <v>14</v>
      </c>
      <c r="B15" s="12" t="inlineStr">
        <is>
          <t>名词解释</t>
        </is>
      </c>
      <c r="C15" s="12" t="inlineStr">
        <is>
          <t>裸模型</t>
        </is>
      </c>
      <c r="D15" s="12" t="inlineStr"/>
      <c r="E15" s="15" t="n"/>
      <c r="F15" s="12" t="n"/>
      <c r="G15" s="12" t="n"/>
      <c r="H15" s="12" t="n"/>
      <c r="I15" s="12" t="n"/>
      <c r="J15" s="12" t="n"/>
      <c r="K15" s="12" t="n"/>
      <c r="L15" s="16">
        <f>IF(COUNT(F15:K15)=0,"",ROUND(SUM(F15:K15)/18*100,1))</f>
        <v/>
      </c>
      <c r="M15" s="12" t="n"/>
      <c r="N15" s="6" t="n"/>
      <c r="O15" s="6" t="n"/>
    </row>
    <row r="16">
      <c r="A16" s="12" t="n">
        <v>15</v>
      </c>
      <c r="B16" s="12" t="inlineStr">
        <is>
          <t>名词解释</t>
        </is>
      </c>
      <c r="C16" s="12" t="inlineStr">
        <is>
          <t>裸模型</t>
        </is>
      </c>
      <c r="D16" s="12" t="inlineStr"/>
      <c r="E16" s="15" t="n"/>
      <c r="F16" s="12" t="n"/>
      <c r="G16" s="12" t="n"/>
      <c r="H16" s="12" t="n"/>
      <c r="I16" s="12" t="n"/>
      <c r="J16" s="12" t="n"/>
      <c r="K16" s="12" t="n"/>
      <c r="L16" s="16">
        <f>IF(COUNT(F16:K16)=0,"",ROUND(SUM(F16:K16)/18*100,1))</f>
        <v/>
      </c>
      <c r="M16" s="12" t="n"/>
      <c r="N16" s="6" t="n"/>
      <c r="O16" s="6" t="n"/>
    </row>
    <row r="17">
      <c r="A17" s="12" t="n">
        <v>16</v>
      </c>
      <c r="B17" s="12" t="inlineStr">
        <is>
          <t>简答</t>
        </is>
      </c>
      <c r="C17" s="12" t="inlineStr">
        <is>
          <t>裸模型</t>
        </is>
      </c>
      <c r="D17" s="12" t="inlineStr"/>
      <c r="E17" s="15" t="n"/>
      <c r="F17" s="12" t="n"/>
      <c r="G17" s="12" t="n"/>
      <c r="H17" s="12" t="n"/>
      <c r="I17" s="12" t="n"/>
      <c r="J17" s="12" t="n"/>
      <c r="K17" s="12" t="n"/>
      <c r="L17" s="16">
        <f>IF(COUNT(F17:K17)=0,"",ROUND(SUM(F17:K17)/18*100,1))</f>
        <v/>
      </c>
      <c r="M17" s="12" t="n"/>
      <c r="N17" s="6" t="n"/>
      <c r="O17" s="6" t="n"/>
    </row>
    <row r="18">
      <c r="A18" s="12" t="n">
        <v>17</v>
      </c>
      <c r="B18" s="12" t="inlineStr">
        <is>
          <t>简答</t>
        </is>
      </c>
      <c r="C18" s="12" t="inlineStr">
        <is>
          <t>裸模型</t>
        </is>
      </c>
      <c r="D18" s="12" t="inlineStr"/>
      <c r="E18" s="15" t="n"/>
      <c r="F18" s="12" t="n"/>
      <c r="G18" s="12" t="n"/>
      <c r="H18" s="12" t="n"/>
      <c r="I18" s="12" t="n"/>
      <c r="J18" s="12" t="n"/>
      <c r="K18" s="12" t="n"/>
      <c r="L18" s="16">
        <f>IF(COUNT(F18:K18)=0,"",ROUND(SUM(F18:K18)/18*100,1))</f>
        <v/>
      </c>
      <c r="M18" s="12" t="n"/>
      <c r="N18" s="6" t="n"/>
      <c r="O18" s="6" t="n"/>
    </row>
    <row r="19">
      <c r="A19" s="12" t="n">
        <v>18</v>
      </c>
      <c r="B19" s="12" t="inlineStr">
        <is>
          <t>简答</t>
        </is>
      </c>
      <c r="C19" s="12" t="inlineStr">
        <is>
          <t>裸模型</t>
        </is>
      </c>
      <c r="D19" s="12" t="inlineStr"/>
      <c r="E19" s="15" t="n"/>
      <c r="F19" s="12" t="n"/>
      <c r="G19" s="12" t="n"/>
      <c r="H19" s="12" t="n"/>
      <c r="I19" s="12" t="n"/>
      <c r="J19" s="12" t="n"/>
      <c r="K19" s="12" t="n"/>
      <c r="L19" s="16">
        <f>IF(COUNT(F19:K19)=0,"",ROUND(SUM(F19:K19)/18*100,1))</f>
        <v/>
      </c>
      <c r="M19" s="12" t="n"/>
      <c r="N19" s="6" t="n"/>
      <c r="O19" s="6" t="n"/>
    </row>
    <row r="20">
      <c r="A20" s="12" t="n">
        <v>19</v>
      </c>
      <c r="B20" s="12" t="inlineStr">
        <is>
          <t>简答</t>
        </is>
      </c>
      <c r="C20" s="12" t="inlineStr">
        <is>
          <t>裸模型</t>
        </is>
      </c>
      <c r="D20" s="12" t="inlineStr"/>
      <c r="E20" s="15" t="n"/>
      <c r="F20" s="12" t="n"/>
      <c r="G20" s="12" t="n"/>
      <c r="H20" s="12" t="n"/>
      <c r="I20" s="12" t="n"/>
      <c r="J20" s="12" t="n"/>
      <c r="K20" s="12" t="n"/>
      <c r="L20" s="16">
        <f>IF(COUNT(F20:K20)=0,"",ROUND(SUM(F20:K20)/18*100,1))</f>
        <v/>
      </c>
      <c r="M20" s="12" t="n"/>
      <c r="N20" s="6" t="n"/>
      <c r="O20" s="6" t="n"/>
    </row>
    <row r="21">
      <c r="A21" s="12" t="n">
        <v>20</v>
      </c>
      <c r="B21" s="12" t="inlineStr">
        <is>
          <t>简答</t>
        </is>
      </c>
      <c r="C21" s="12" t="inlineStr">
        <is>
          <t>裸模型</t>
        </is>
      </c>
      <c r="D21" s="12" t="inlineStr"/>
      <c r="E21" s="15" t="n"/>
      <c r="F21" s="12" t="n"/>
      <c r="G21" s="12" t="n"/>
      <c r="H21" s="12" t="n"/>
      <c r="I21" s="12" t="n"/>
      <c r="J21" s="12" t="n"/>
      <c r="K21" s="12" t="n"/>
      <c r="L21" s="16">
        <f>IF(COUNT(F21:K21)=0,"",ROUND(SUM(F21:K21)/18*100,1))</f>
        <v/>
      </c>
      <c r="M21" s="12" t="n"/>
      <c r="N21" s="6" t="n"/>
      <c r="O21" s="6" t="n"/>
    </row>
    <row r="22">
      <c r="A22" s="12" t="n">
        <v>21</v>
      </c>
      <c r="B22" s="12" t="inlineStr">
        <is>
          <t>简答</t>
        </is>
      </c>
      <c r="C22" s="12" t="inlineStr">
        <is>
          <t>裸模型</t>
        </is>
      </c>
      <c r="D22" s="12" t="inlineStr"/>
      <c r="E22" s="15" t="n"/>
      <c r="F22" s="12" t="n"/>
      <c r="G22" s="12" t="n"/>
      <c r="H22" s="12" t="n"/>
      <c r="I22" s="12" t="n"/>
      <c r="J22" s="12" t="n"/>
      <c r="K22" s="12" t="n"/>
      <c r="L22" s="16">
        <f>IF(COUNT(F22:K22)=0,"",ROUND(SUM(F22:K22)/18*100,1))</f>
        <v/>
      </c>
      <c r="M22" s="12" t="n"/>
      <c r="N22" s="6" t="n"/>
      <c r="O22" s="6" t="n"/>
    </row>
    <row r="23">
      <c r="A23" s="12" t="n">
        <v>22</v>
      </c>
      <c r="B23" s="12" t="inlineStr">
        <is>
          <t>简答</t>
        </is>
      </c>
      <c r="C23" s="12" t="inlineStr">
        <is>
          <t>裸模型</t>
        </is>
      </c>
      <c r="D23" s="12" t="inlineStr"/>
      <c r="E23" s="15" t="n"/>
      <c r="F23" s="12" t="n"/>
      <c r="G23" s="12" t="n"/>
      <c r="H23" s="12" t="n"/>
      <c r="I23" s="12" t="n"/>
      <c r="J23" s="12" t="n"/>
      <c r="K23" s="12" t="n"/>
      <c r="L23" s="16">
        <f>IF(COUNT(F23:K23)=0,"",ROUND(SUM(F23:K23)/18*100,1))</f>
        <v/>
      </c>
      <c r="M23" s="12" t="n"/>
      <c r="N23" s="6" t="n"/>
      <c r="O23" s="6" t="n"/>
    </row>
    <row r="24">
      <c r="A24" s="12" t="n">
        <v>23</v>
      </c>
      <c r="B24" s="12" t="inlineStr">
        <is>
          <t>简答</t>
        </is>
      </c>
      <c r="C24" s="12" t="inlineStr">
        <is>
          <t>裸模型</t>
        </is>
      </c>
      <c r="D24" s="12" t="inlineStr"/>
      <c r="E24" s="15" t="n"/>
      <c r="F24" s="12" t="n"/>
      <c r="G24" s="12" t="n"/>
      <c r="H24" s="12" t="n"/>
      <c r="I24" s="12" t="n"/>
      <c r="J24" s="12" t="n"/>
      <c r="K24" s="12" t="n"/>
      <c r="L24" s="16">
        <f>IF(COUNT(F24:K24)=0,"",ROUND(SUM(F24:K24)/18*100,1))</f>
        <v/>
      </c>
      <c r="M24" s="12" t="n"/>
      <c r="N24" s="6" t="n"/>
      <c r="O24" s="6" t="n"/>
    </row>
    <row r="25">
      <c r="A25" s="12" t="n">
        <v>24</v>
      </c>
      <c r="B25" s="12" t="inlineStr">
        <is>
          <t>简答</t>
        </is>
      </c>
      <c r="C25" s="12" t="inlineStr">
        <is>
          <t>裸模型</t>
        </is>
      </c>
      <c r="D25" s="12" t="inlineStr"/>
      <c r="E25" s="15" t="n"/>
      <c r="F25" s="12" t="n"/>
      <c r="G25" s="12" t="n"/>
      <c r="H25" s="12" t="n"/>
      <c r="I25" s="12" t="n"/>
      <c r="J25" s="12" t="n"/>
      <c r="K25" s="12" t="n"/>
      <c r="L25" s="16">
        <f>IF(COUNT(F25:K25)=0,"",ROUND(SUM(F25:K25)/18*100,1))</f>
        <v/>
      </c>
      <c r="M25" s="12" t="n"/>
      <c r="N25" s="6" t="n"/>
      <c r="O25" s="6" t="n"/>
    </row>
    <row r="26">
      <c r="A26" s="12" t="n">
        <v>25</v>
      </c>
      <c r="B26" s="12" t="inlineStr">
        <is>
          <t>简答</t>
        </is>
      </c>
      <c r="C26" s="12" t="inlineStr">
        <is>
          <t>裸模型</t>
        </is>
      </c>
      <c r="D26" s="12" t="inlineStr"/>
      <c r="E26" s="15" t="n"/>
      <c r="F26" s="12" t="n"/>
      <c r="G26" s="12" t="n"/>
      <c r="H26" s="12" t="n"/>
      <c r="I26" s="12" t="n"/>
      <c r="J26" s="12" t="n"/>
      <c r="K26" s="12" t="n"/>
      <c r="L26" s="16">
        <f>IF(COUNT(F26:K26)=0,"",ROUND(SUM(F26:K26)/18*100,1))</f>
        <v/>
      </c>
      <c r="M26" s="12" t="n"/>
      <c r="N26" s="6" t="n"/>
      <c r="O26" s="6" t="n"/>
    </row>
    <row r="27">
      <c r="A27" s="12" t="n">
        <v>26</v>
      </c>
      <c r="B27" s="12" t="inlineStr">
        <is>
          <t>论述</t>
        </is>
      </c>
      <c r="C27" s="12" t="inlineStr">
        <is>
          <t>裸模型</t>
        </is>
      </c>
      <c r="D27" s="12" t="inlineStr"/>
      <c r="E27" s="15" t="n"/>
      <c r="F27" s="12" t="n"/>
      <c r="G27" s="12" t="n"/>
      <c r="H27" s="12" t="n"/>
      <c r="I27" s="12" t="n"/>
      <c r="J27" s="12" t="n"/>
      <c r="K27" s="12" t="n"/>
      <c r="L27" s="16">
        <f>IF(COUNT(F27:K27)=0,"",ROUND(SUM(F27:K27)/18*100,1))</f>
        <v/>
      </c>
      <c r="M27" s="12" t="n"/>
      <c r="N27" s="6" t="n"/>
      <c r="O27" s="6" t="n"/>
    </row>
    <row r="28">
      <c r="A28" s="12" t="n">
        <v>27</v>
      </c>
      <c r="B28" s="12" t="inlineStr">
        <is>
          <t>论述</t>
        </is>
      </c>
      <c r="C28" s="12" t="inlineStr">
        <is>
          <t>裸模型</t>
        </is>
      </c>
      <c r="D28" s="12" t="inlineStr"/>
      <c r="E28" s="15" t="n"/>
      <c r="F28" s="12" t="n"/>
      <c r="G28" s="12" t="n"/>
      <c r="H28" s="12" t="n"/>
      <c r="I28" s="12" t="n"/>
      <c r="J28" s="12" t="n"/>
      <c r="K28" s="12" t="n"/>
      <c r="L28" s="16">
        <f>IF(COUNT(F28:K28)=0,"",ROUND(SUM(F28:K28)/18*100,1))</f>
        <v/>
      </c>
      <c r="M28" s="12" t="n"/>
      <c r="N28" s="6" t="n"/>
      <c r="O28" s="6" t="n"/>
    </row>
    <row r="29">
      <c r="A29" s="12" t="n">
        <v>28</v>
      </c>
      <c r="B29" s="12" t="inlineStr">
        <is>
          <t>论述</t>
        </is>
      </c>
      <c r="C29" s="12" t="inlineStr">
        <is>
          <t>裸模型</t>
        </is>
      </c>
      <c r="D29" s="12" t="inlineStr"/>
      <c r="E29" s="15" t="n"/>
      <c r="F29" s="12" t="n"/>
      <c r="G29" s="12" t="n"/>
      <c r="H29" s="12" t="n"/>
      <c r="I29" s="12" t="n"/>
      <c r="J29" s="12" t="n"/>
      <c r="K29" s="12" t="n"/>
      <c r="L29" s="16">
        <f>IF(COUNT(F29:K29)=0,"",ROUND(SUM(F29:K29)/18*100,1))</f>
        <v/>
      </c>
      <c r="M29" s="12" t="n"/>
      <c r="N29" s="6" t="n"/>
      <c r="O29" s="6" t="n"/>
    </row>
    <row r="30">
      <c r="A30" s="12" t="n">
        <v>29</v>
      </c>
      <c r="B30" s="12" t="inlineStr">
        <is>
          <t>论述</t>
        </is>
      </c>
      <c r="C30" s="12" t="inlineStr">
        <is>
          <t>裸模型</t>
        </is>
      </c>
      <c r="D30" s="12" t="inlineStr"/>
      <c r="E30" s="15" t="n"/>
      <c r="F30" s="12" t="n"/>
      <c r="G30" s="12" t="n"/>
      <c r="H30" s="12" t="n"/>
      <c r="I30" s="12" t="n"/>
      <c r="J30" s="12" t="n"/>
      <c r="K30" s="12" t="n"/>
      <c r="L30" s="16">
        <f>IF(COUNT(F30:K30)=0,"",ROUND(SUM(F30:K30)/18*100,1))</f>
        <v/>
      </c>
      <c r="M30" s="12" t="n"/>
      <c r="N30" s="6" t="n"/>
      <c r="O30" s="6" t="n"/>
    </row>
    <row r="31">
      <c r="A31" s="12" t="n">
        <v>30</v>
      </c>
      <c r="B31" s="12" t="inlineStr">
        <is>
          <t>论述</t>
        </is>
      </c>
      <c r="C31" s="12" t="inlineStr">
        <is>
          <t>裸模型</t>
        </is>
      </c>
      <c r="D31" s="12" t="inlineStr"/>
      <c r="E31" s="15" t="n"/>
      <c r="F31" s="12" t="n"/>
      <c r="G31" s="12" t="n"/>
      <c r="H31" s="12" t="n"/>
      <c r="I31" s="12" t="n"/>
      <c r="J31" s="12" t="n"/>
      <c r="K31" s="12" t="n"/>
      <c r="L31" s="16">
        <f>IF(COUNT(F31:K31)=0,"",ROUND(SUM(F31:K31)/18*100,1))</f>
        <v/>
      </c>
      <c r="M31" s="12" t="n"/>
      <c r="N31" s="6" t="n"/>
      <c r="O31" s="6" t="n"/>
    </row>
    <row r="32">
      <c r="A32" s="12" t="n">
        <v>31</v>
      </c>
      <c r="B32" s="12" t="inlineStr">
        <is>
          <t>论述</t>
        </is>
      </c>
      <c r="C32" s="12" t="inlineStr">
        <is>
          <t>裸模型</t>
        </is>
      </c>
      <c r="D32" s="12" t="inlineStr"/>
      <c r="E32" s="15" t="n"/>
      <c r="F32" s="12" t="n"/>
      <c r="G32" s="12" t="n"/>
      <c r="H32" s="12" t="n"/>
      <c r="I32" s="12" t="n"/>
      <c r="J32" s="12" t="n"/>
      <c r="K32" s="12" t="n"/>
      <c r="L32" s="16">
        <f>IF(COUNT(F32:K32)=0,"",ROUND(SUM(F32:K32)/18*100,1))</f>
        <v/>
      </c>
      <c r="M32" s="12" t="n"/>
      <c r="N32" s="6" t="n"/>
      <c r="O32" s="6" t="n"/>
    </row>
    <row r="33">
      <c r="A33" s="12" t="n">
        <v>32</v>
      </c>
      <c r="B33" s="12" t="inlineStr">
        <is>
          <t>论述</t>
        </is>
      </c>
      <c r="C33" s="12" t="inlineStr">
        <is>
          <t>裸模型</t>
        </is>
      </c>
      <c r="D33" s="12" t="inlineStr"/>
      <c r="E33" s="15" t="n"/>
      <c r="F33" s="12" t="n"/>
      <c r="G33" s="12" t="n"/>
      <c r="H33" s="12" t="n"/>
      <c r="I33" s="12" t="n"/>
      <c r="J33" s="12" t="n"/>
      <c r="K33" s="12" t="n"/>
      <c r="L33" s="16">
        <f>IF(COUNT(F33:K33)=0,"",ROUND(SUM(F33:K33)/18*100,1))</f>
        <v/>
      </c>
      <c r="M33" s="12" t="n"/>
      <c r="N33" s="6" t="n"/>
      <c r="O33" s="6" t="n"/>
    </row>
    <row r="34">
      <c r="A34" s="12" t="n">
        <v>33</v>
      </c>
      <c r="B34" s="12" t="inlineStr">
        <is>
          <t>论述</t>
        </is>
      </c>
      <c r="C34" s="12" t="inlineStr">
        <is>
          <t>裸模型</t>
        </is>
      </c>
      <c r="D34" s="12" t="inlineStr"/>
      <c r="E34" s="15" t="n"/>
      <c r="F34" s="12" t="n"/>
      <c r="G34" s="12" t="n"/>
      <c r="H34" s="12" t="n"/>
      <c r="I34" s="12" t="n"/>
      <c r="J34" s="12" t="n"/>
      <c r="K34" s="12" t="n"/>
      <c r="L34" s="16">
        <f>IF(COUNT(F34:K34)=0,"",ROUND(SUM(F34:K34)/18*100,1))</f>
        <v/>
      </c>
      <c r="M34" s="12" t="n"/>
      <c r="N34" s="6" t="n"/>
      <c r="O34" s="6" t="n"/>
    </row>
    <row r="35">
      <c r="A35" s="12" t="n">
        <v>34</v>
      </c>
      <c r="B35" s="12" t="inlineStr">
        <is>
          <t>论述</t>
        </is>
      </c>
      <c r="C35" s="12" t="inlineStr">
        <is>
          <t>裸模型</t>
        </is>
      </c>
      <c r="D35" s="12" t="inlineStr"/>
      <c r="E35" s="15" t="n"/>
      <c r="F35" s="12" t="n"/>
      <c r="G35" s="12" t="n"/>
      <c r="H35" s="12" t="n"/>
      <c r="I35" s="12" t="n"/>
      <c r="J35" s="12" t="n"/>
      <c r="K35" s="12" t="n"/>
      <c r="L35" s="16">
        <f>IF(COUNT(F35:K35)=0,"",ROUND(SUM(F35:K35)/18*100,1))</f>
        <v/>
      </c>
      <c r="M35" s="12" t="n"/>
      <c r="N35" s="6" t="n"/>
      <c r="O35" s="6" t="n"/>
    </row>
    <row r="36">
      <c r="A36" s="12" t="n">
        <v>35</v>
      </c>
      <c r="B36" s="12" t="inlineStr">
        <is>
          <t>论述</t>
        </is>
      </c>
      <c r="C36" s="12" t="inlineStr">
        <is>
          <t>裸模型</t>
        </is>
      </c>
      <c r="D36" s="12" t="inlineStr"/>
      <c r="E36" s="15" t="n"/>
      <c r="F36" s="12" t="n"/>
      <c r="G36" s="12" t="n"/>
      <c r="H36" s="12" t="n"/>
      <c r="I36" s="12" t="n"/>
      <c r="J36" s="12" t="n"/>
      <c r="K36" s="12" t="n"/>
      <c r="L36" s="16">
        <f>IF(COUNT(F36:K36)=0,"",ROUND(SUM(F36:K36)/18*100,1))</f>
        <v/>
      </c>
      <c r="M36" s="12" t="n"/>
      <c r="N36" s="6" t="n"/>
      <c r="O36" s="6" t="n"/>
    </row>
    <row r="37">
      <c r="A37" s="12" t="n">
        <v>36</v>
      </c>
      <c r="B37" s="12" t="inlineStr">
        <is>
          <t>翻译鉴赏</t>
        </is>
      </c>
      <c r="C37" s="12" t="inlineStr">
        <is>
          <t>裸模型</t>
        </is>
      </c>
      <c r="D37" s="12" t="inlineStr"/>
      <c r="E37" s="15" t="n"/>
      <c r="F37" s="12" t="n"/>
      <c r="G37" s="12" t="n"/>
      <c r="H37" s="12" t="n"/>
      <c r="I37" s="12" t="n"/>
      <c r="J37" s="12" t="n"/>
      <c r="K37" s="12" t="n"/>
      <c r="L37" s="16">
        <f>IF(COUNT(F37:K37)=0,"",ROUND(SUM(F37:K37)/18*100,1))</f>
        <v/>
      </c>
      <c r="M37" s="12" t="n"/>
      <c r="N37" s="6" t="n"/>
      <c r="O37" s="6" t="n"/>
    </row>
    <row r="38">
      <c r="A38" s="12" t="n">
        <v>37</v>
      </c>
      <c r="B38" s="12" t="inlineStr">
        <is>
          <t>翻译鉴赏</t>
        </is>
      </c>
      <c r="C38" s="12" t="inlineStr">
        <is>
          <t>裸模型</t>
        </is>
      </c>
      <c r="D38" s="12" t="inlineStr"/>
      <c r="E38" s="15" t="n"/>
      <c r="F38" s="12" t="n"/>
      <c r="G38" s="12" t="n"/>
      <c r="H38" s="12" t="n"/>
      <c r="I38" s="12" t="n"/>
      <c r="J38" s="12" t="n"/>
      <c r="K38" s="12" t="n"/>
      <c r="L38" s="16">
        <f>IF(COUNT(F38:K38)=0,"",ROUND(SUM(F38:K38)/18*100,1))</f>
        <v/>
      </c>
      <c r="M38" s="12" t="n"/>
      <c r="N38" s="6" t="n"/>
      <c r="O38" s="6" t="n"/>
    </row>
    <row r="39">
      <c r="A39" s="12" t="n">
        <v>38</v>
      </c>
      <c r="B39" s="12" t="inlineStr">
        <is>
          <t>翻译鉴赏</t>
        </is>
      </c>
      <c r="C39" s="12" t="inlineStr">
        <is>
          <t>裸模型</t>
        </is>
      </c>
      <c r="D39" s="12" t="inlineStr"/>
      <c r="E39" s="15" t="n"/>
      <c r="F39" s="12" t="n"/>
      <c r="G39" s="12" t="n"/>
      <c r="H39" s="12" t="n"/>
      <c r="I39" s="12" t="n"/>
      <c r="J39" s="12" t="n"/>
      <c r="K39" s="12" t="n"/>
      <c r="L39" s="16">
        <f>IF(COUNT(F39:K39)=0,"",ROUND(SUM(F39:K39)/18*100,1))</f>
        <v/>
      </c>
      <c r="M39" s="12" t="n"/>
      <c r="N39" s="6" t="n"/>
      <c r="O39" s="6" t="n"/>
    </row>
    <row r="40">
      <c r="A40" s="12" t="n">
        <v>39</v>
      </c>
      <c r="B40" s="12" t="inlineStr">
        <is>
          <t>翻译鉴赏</t>
        </is>
      </c>
      <c r="C40" s="12" t="inlineStr">
        <is>
          <t>裸模型</t>
        </is>
      </c>
      <c r="D40" s="12" t="inlineStr"/>
      <c r="E40" s="15" t="n"/>
      <c r="F40" s="12" t="n"/>
      <c r="G40" s="12" t="n"/>
      <c r="H40" s="12" t="n"/>
      <c r="I40" s="12" t="n"/>
      <c r="J40" s="12" t="n"/>
      <c r="K40" s="12" t="n"/>
      <c r="L40" s="16">
        <f>IF(COUNT(F40:K40)=0,"",ROUND(SUM(F40:K40)/18*100,1))</f>
        <v/>
      </c>
      <c r="M40" s="12" t="n"/>
      <c r="N40" s="6" t="n"/>
      <c r="O40" s="6" t="n"/>
    </row>
    <row r="41">
      <c r="A41" s="12" t="n">
        <v>40</v>
      </c>
      <c r="B41" s="12" t="inlineStr">
        <is>
          <t>翻译鉴赏</t>
        </is>
      </c>
      <c r="C41" s="12" t="inlineStr">
        <is>
          <t>裸模型</t>
        </is>
      </c>
      <c r="D41" s="12" t="inlineStr"/>
      <c r="E41" s="15" t="n"/>
      <c r="F41" s="12" t="n"/>
      <c r="G41" s="12" t="n"/>
      <c r="H41" s="12" t="n"/>
      <c r="I41" s="12" t="n"/>
      <c r="J41" s="12" t="n"/>
      <c r="K41" s="12" t="n"/>
      <c r="L41" s="16">
        <f>IF(COUNT(F41:K41)=0,"",ROUND(SUM(F41:K41)/18*100,1))</f>
        <v/>
      </c>
      <c r="M41" s="12" t="n"/>
      <c r="N41" s="6" t="n"/>
      <c r="O41" s="6" t="n"/>
    </row>
    <row r="42">
      <c r="A42" s="17" t="n">
        <v>1</v>
      </c>
      <c r="B42" s="17" t="inlineStr">
        <is>
          <t>名词解释</t>
        </is>
      </c>
      <c r="C42" s="17" t="inlineStr">
        <is>
          <t>我的Agent</t>
        </is>
      </c>
      <c r="D42" s="17" t="inlineStr"/>
      <c r="E42" s="18" t="n"/>
      <c r="F42" s="17" t="n"/>
      <c r="G42" s="17" t="n"/>
      <c r="H42" s="17" t="n"/>
      <c r="I42" s="17" t="n"/>
      <c r="J42" s="17" t="n"/>
      <c r="K42" s="17" t="n"/>
      <c r="L42" s="19">
        <f>IF(COUNT(F42:K42)=0,"",ROUND(SUM(F42:K42)/18*100,1))</f>
        <v/>
      </c>
      <c r="M42" s="17" t="n"/>
      <c r="N42" s="20" t="n"/>
      <c r="O42" s="20" t="n"/>
    </row>
    <row r="43">
      <c r="A43" s="17" t="n">
        <v>2</v>
      </c>
      <c r="B43" s="17" t="inlineStr">
        <is>
          <t>名词解释</t>
        </is>
      </c>
      <c r="C43" s="17" t="inlineStr">
        <is>
          <t>我的Agent</t>
        </is>
      </c>
      <c r="D43" s="17" t="inlineStr"/>
      <c r="E43" s="18" t="n"/>
      <c r="F43" s="17" t="n"/>
      <c r="G43" s="17" t="n"/>
      <c r="H43" s="17" t="n"/>
      <c r="I43" s="17" t="n"/>
      <c r="J43" s="17" t="n"/>
      <c r="K43" s="17" t="n"/>
      <c r="L43" s="19">
        <f>IF(COUNT(F43:K43)=0,"",ROUND(SUM(F43:K43)/18*100,1))</f>
        <v/>
      </c>
      <c r="M43" s="17" t="n"/>
      <c r="N43" s="20" t="n"/>
      <c r="O43" s="20" t="n"/>
    </row>
    <row r="44">
      <c r="A44" s="17" t="n">
        <v>3</v>
      </c>
      <c r="B44" s="17" t="inlineStr">
        <is>
          <t>名词解释</t>
        </is>
      </c>
      <c r="C44" s="17" t="inlineStr">
        <is>
          <t>我的Agent</t>
        </is>
      </c>
      <c r="D44" s="17" t="inlineStr"/>
      <c r="E44" s="18" t="n"/>
      <c r="F44" s="17" t="n"/>
      <c r="G44" s="17" t="n"/>
      <c r="H44" s="17" t="n"/>
      <c r="I44" s="17" t="n"/>
      <c r="J44" s="17" t="n"/>
      <c r="K44" s="17" t="n"/>
      <c r="L44" s="19">
        <f>IF(COUNT(F44:K44)=0,"",ROUND(SUM(F44:K44)/18*100,1))</f>
        <v/>
      </c>
      <c r="M44" s="17" t="n"/>
      <c r="N44" s="20" t="n"/>
      <c r="O44" s="20" t="n"/>
    </row>
    <row r="45">
      <c r="A45" s="17" t="n">
        <v>4</v>
      </c>
      <c r="B45" s="17" t="inlineStr">
        <is>
          <t>名词解释</t>
        </is>
      </c>
      <c r="C45" s="17" t="inlineStr">
        <is>
          <t>我的Agent</t>
        </is>
      </c>
      <c r="D45" s="17" t="inlineStr"/>
      <c r="E45" s="18" t="n"/>
      <c r="F45" s="17" t="n"/>
      <c r="G45" s="17" t="n"/>
      <c r="H45" s="17" t="n"/>
      <c r="I45" s="17" t="n"/>
      <c r="J45" s="17" t="n"/>
      <c r="K45" s="17" t="n"/>
      <c r="L45" s="19">
        <f>IF(COUNT(F45:K45)=0,"",ROUND(SUM(F45:K45)/18*100,1))</f>
        <v/>
      </c>
      <c r="M45" s="17" t="n"/>
      <c r="N45" s="20" t="n"/>
      <c r="O45" s="20" t="n"/>
    </row>
    <row r="46">
      <c r="A46" s="17" t="n">
        <v>5</v>
      </c>
      <c r="B46" s="17" t="inlineStr">
        <is>
          <t>名词解释</t>
        </is>
      </c>
      <c r="C46" s="17" t="inlineStr">
        <is>
          <t>我的Agent</t>
        </is>
      </c>
      <c r="D46" s="17" t="inlineStr"/>
      <c r="E46" s="18" t="n"/>
      <c r="F46" s="17" t="n"/>
      <c r="G46" s="17" t="n"/>
      <c r="H46" s="17" t="n"/>
      <c r="I46" s="17" t="n"/>
      <c r="J46" s="17" t="n"/>
      <c r="K46" s="17" t="n"/>
      <c r="L46" s="19">
        <f>IF(COUNT(F46:K46)=0,"",ROUND(SUM(F46:K46)/18*100,1))</f>
        <v/>
      </c>
      <c r="M46" s="17" t="n"/>
      <c r="N46" s="20" t="n"/>
      <c r="O46" s="20" t="n"/>
    </row>
    <row r="47">
      <c r="A47" s="17" t="n">
        <v>6</v>
      </c>
      <c r="B47" s="17" t="inlineStr">
        <is>
          <t>名词解释</t>
        </is>
      </c>
      <c r="C47" s="17" t="inlineStr">
        <is>
          <t>我的Agent</t>
        </is>
      </c>
      <c r="D47" s="17" t="inlineStr"/>
      <c r="E47" s="18" t="n"/>
      <c r="F47" s="17" t="n"/>
      <c r="G47" s="17" t="n"/>
      <c r="H47" s="17" t="n"/>
      <c r="I47" s="17" t="n"/>
      <c r="J47" s="17" t="n"/>
      <c r="K47" s="17" t="n"/>
      <c r="L47" s="19">
        <f>IF(COUNT(F47:K47)=0,"",ROUND(SUM(F47:K47)/18*100,1))</f>
        <v/>
      </c>
      <c r="M47" s="17" t="n"/>
      <c r="N47" s="20" t="n"/>
      <c r="O47" s="20" t="n"/>
    </row>
    <row r="48">
      <c r="A48" s="17" t="n">
        <v>7</v>
      </c>
      <c r="B48" s="17" t="inlineStr">
        <is>
          <t>名词解释</t>
        </is>
      </c>
      <c r="C48" s="17" t="inlineStr">
        <is>
          <t>我的Agent</t>
        </is>
      </c>
      <c r="D48" s="17" t="inlineStr"/>
      <c r="E48" s="18" t="n"/>
      <c r="F48" s="17" t="n"/>
      <c r="G48" s="17" t="n"/>
      <c r="H48" s="17" t="n"/>
      <c r="I48" s="17" t="n"/>
      <c r="J48" s="17" t="n"/>
      <c r="K48" s="17" t="n"/>
      <c r="L48" s="19">
        <f>IF(COUNT(F48:K48)=0,"",ROUND(SUM(F48:K48)/18*100,1))</f>
        <v/>
      </c>
      <c r="M48" s="17" t="n"/>
      <c r="N48" s="20" t="n"/>
      <c r="O48" s="20" t="n"/>
    </row>
    <row r="49">
      <c r="A49" s="17" t="n">
        <v>8</v>
      </c>
      <c r="B49" s="17" t="inlineStr">
        <is>
          <t>名词解释</t>
        </is>
      </c>
      <c r="C49" s="17" t="inlineStr">
        <is>
          <t>我的Agent</t>
        </is>
      </c>
      <c r="D49" s="17" t="inlineStr"/>
      <c r="E49" s="18" t="n"/>
      <c r="F49" s="17" t="n"/>
      <c r="G49" s="17" t="n"/>
      <c r="H49" s="17" t="n"/>
      <c r="I49" s="17" t="n"/>
      <c r="J49" s="17" t="n"/>
      <c r="K49" s="17" t="n"/>
      <c r="L49" s="19">
        <f>IF(COUNT(F49:K49)=0,"",ROUND(SUM(F49:K49)/18*100,1))</f>
        <v/>
      </c>
      <c r="M49" s="17" t="n"/>
      <c r="N49" s="20" t="n"/>
      <c r="O49" s="20" t="n"/>
    </row>
    <row r="50">
      <c r="A50" s="17" t="n">
        <v>9</v>
      </c>
      <c r="B50" s="17" t="inlineStr">
        <is>
          <t>名词解释</t>
        </is>
      </c>
      <c r="C50" s="17" t="inlineStr">
        <is>
          <t>我的Agent</t>
        </is>
      </c>
      <c r="D50" s="17" t="inlineStr"/>
      <c r="E50" s="18" t="n"/>
      <c r="F50" s="17" t="n"/>
      <c r="G50" s="17" t="n"/>
      <c r="H50" s="17" t="n"/>
      <c r="I50" s="17" t="n"/>
      <c r="J50" s="17" t="n"/>
      <c r="K50" s="17" t="n"/>
      <c r="L50" s="19">
        <f>IF(COUNT(F50:K50)=0,"",ROUND(SUM(F50:K50)/18*100,1))</f>
        <v/>
      </c>
      <c r="M50" s="17" t="n"/>
      <c r="N50" s="20" t="n"/>
      <c r="O50" s="20" t="n"/>
    </row>
    <row r="51">
      <c r="A51" s="17" t="n">
        <v>10</v>
      </c>
      <c r="B51" s="17" t="inlineStr">
        <is>
          <t>名词解释</t>
        </is>
      </c>
      <c r="C51" s="17" t="inlineStr">
        <is>
          <t>我的Agent</t>
        </is>
      </c>
      <c r="D51" s="17" t="inlineStr"/>
      <c r="E51" s="18" t="n"/>
      <c r="F51" s="17" t="n"/>
      <c r="G51" s="17" t="n"/>
      <c r="H51" s="17" t="n"/>
      <c r="I51" s="17" t="n"/>
      <c r="J51" s="17" t="n"/>
      <c r="K51" s="17" t="n"/>
      <c r="L51" s="19">
        <f>IF(COUNT(F51:K51)=0,"",ROUND(SUM(F51:K51)/18*100,1))</f>
        <v/>
      </c>
      <c r="M51" s="17" t="n"/>
      <c r="N51" s="20" t="n"/>
      <c r="O51" s="20" t="n"/>
    </row>
    <row r="52">
      <c r="A52" s="17" t="n">
        <v>11</v>
      </c>
      <c r="B52" s="17" t="inlineStr">
        <is>
          <t>名词解释</t>
        </is>
      </c>
      <c r="C52" s="17" t="inlineStr">
        <is>
          <t>我的Agent</t>
        </is>
      </c>
      <c r="D52" s="17" t="inlineStr"/>
      <c r="E52" s="18" t="n"/>
      <c r="F52" s="17" t="n"/>
      <c r="G52" s="17" t="n"/>
      <c r="H52" s="17" t="n"/>
      <c r="I52" s="17" t="n"/>
      <c r="J52" s="17" t="n"/>
      <c r="K52" s="17" t="n"/>
      <c r="L52" s="19">
        <f>IF(COUNT(F52:K52)=0,"",ROUND(SUM(F52:K52)/18*100,1))</f>
        <v/>
      </c>
      <c r="M52" s="17" t="n"/>
      <c r="N52" s="20" t="n"/>
      <c r="O52" s="20" t="n"/>
    </row>
    <row r="53">
      <c r="A53" s="17" t="n">
        <v>12</v>
      </c>
      <c r="B53" s="17" t="inlineStr">
        <is>
          <t>名词解释</t>
        </is>
      </c>
      <c r="C53" s="17" t="inlineStr">
        <is>
          <t>我的Agent</t>
        </is>
      </c>
      <c r="D53" s="17" t="inlineStr"/>
      <c r="E53" s="18" t="n"/>
      <c r="F53" s="17" t="n"/>
      <c r="G53" s="17" t="n"/>
      <c r="H53" s="17" t="n"/>
      <c r="I53" s="17" t="n"/>
      <c r="J53" s="17" t="n"/>
      <c r="K53" s="17" t="n"/>
      <c r="L53" s="19">
        <f>IF(COUNT(F53:K53)=0,"",ROUND(SUM(F53:K53)/18*100,1))</f>
        <v/>
      </c>
      <c r="M53" s="17" t="n"/>
      <c r="N53" s="20" t="n"/>
      <c r="O53" s="20" t="n"/>
    </row>
    <row r="54">
      <c r="A54" s="17" t="n">
        <v>13</v>
      </c>
      <c r="B54" s="17" t="inlineStr">
        <is>
          <t>名词解释</t>
        </is>
      </c>
      <c r="C54" s="17" t="inlineStr">
        <is>
          <t>我的Agent</t>
        </is>
      </c>
      <c r="D54" s="17" t="inlineStr"/>
      <c r="E54" s="18" t="n"/>
      <c r="F54" s="17" t="n"/>
      <c r="G54" s="17" t="n"/>
      <c r="H54" s="17" t="n"/>
      <c r="I54" s="17" t="n"/>
      <c r="J54" s="17" t="n"/>
      <c r="K54" s="17" t="n"/>
      <c r="L54" s="19">
        <f>IF(COUNT(F54:K54)=0,"",ROUND(SUM(F54:K54)/18*100,1))</f>
        <v/>
      </c>
      <c r="M54" s="17" t="n"/>
      <c r="N54" s="20" t="n"/>
      <c r="O54" s="20" t="n"/>
    </row>
    <row r="55">
      <c r="A55" s="17" t="n">
        <v>14</v>
      </c>
      <c r="B55" s="17" t="inlineStr">
        <is>
          <t>名词解释</t>
        </is>
      </c>
      <c r="C55" s="17" t="inlineStr">
        <is>
          <t>我的Agent</t>
        </is>
      </c>
      <c r="D55" s="17" t="inlineStr"/>
      <c r="E55" s="18" t="n"/>
      <c r="F55" s="17" t="n"/>
      <c r="G55" s="17" t="n"/>
      <c r="H55" s="17" t="n"/>
      <c r="I55" s="17" t="n"/>
      <c r="J55" s="17" t="n"/>
      <c r="K55" s="17" t="n"/>
      <c r="L55" s="19">
        <f>IF(COUNT(F55:K55)=0,"",ROUND(SUM(F55:K55)/18*100,1))</f>
        <v/>
      </c>
      <c r="M55" s="17" t="n"/>
      <c r="N55" s="20" t="n"/>
      <c r="O55" s="20" t="n"/>
    </row>
    <row r="56">
      <c r="A56" s="17" t="n">
        <v>15</v>
      </c>
      <c r="B56" s="17" t="inlineStr">
        <is>
          <t>名词解释</t>
        </is>
      </c>
      <c r="C56" s="17" t="inlineStr">
        <is>
          <t>我的Agent</t>
        </is>
      </c>
      <c r="D56" s="17" t="inlineStr"/>
      <c r="E56" s="18" t="n"/>
      <c r="F56" s="17" t="n"/>
      <c r="G56" s="17" t="n"/>
      <c r="H56" s="17" t="n"/>
      <c r="I56" s="17" t="n"/>
      <c r="J56" s="17" t="n"/>
      <c r="K56" s="17" t="n"/>
      <c r="L56" s="19">
        <f>IF(COUNT(F56:K56)=0,"",ROUND(SUM(F56:K56)/18*100,1))</f>
        <v/>
      </c>
      <c r="M56" s="17" t="n"/>
      <c r="N56" s="20" t="n"/>
      <c r="O56" s="20" t="n"/>
    </row>
    <row r="57">
      <c r="A57" s="17" t="n">
        <v>16</v>
      </c>
      <c r="B57" s="17" t="inlineStr">
        <is>
          <t>简答</t>
        </is>
      </c>
      <c r="C57" s="17" t="inlineStr">
        <is>
          <t>我的Agent</t>
        </is>
      </c>
      <c r="D57" s="17" t="inlineStr"/>
      <c r="E57" s="18" t="n"/>
      <c r="F57" s="17" t="n"/>
      <c r="G57" s="17" t="n"/>
      <c r="H57" s="17" t="n"/>
      <c r="I57" s="17" t="n"/>
      <c r="J57" s="17" t="n"/>
      <c r="K57" s="17" t="n"/>
      <c r="L57" s="19">
        <f>IF(COUNT(F57:K57)=0,"",ROUND(SUM(F57:K57)/18*100,1))</f>
        <v/>
      </c>
      <c r="M57" s="17" t="n"/>
      <c r="N57" s="20" t="n"/>
      <c r="O57" s="20" t="n"/>
    </row>
    <row r="58">
      <c r="A58" s="17" t="n">
        <v>17</v>
      </c>
      <c r="B58" s="17" t="inlineStr">
        <is>
          <t>简答</t>
        </is>
      </c>
      <c r="C58" s="17" t="inlineStr">
        <is>
          <t>我的Agent</t>
        </is>
      </c>
      <c r="D58" s="17" t="inlineStr"/>
      <c r="E58" s="18" t="n"/>
      <c r="F58" s="17" t="n"/>
      <c r="G58" s="17" t="n"/>
      <c r="H58" s="17" t="n"/>
      <c r="I58" s="17" t="n"/>
      <c r="J58" s="17" t="n"/>
      <c r="K58" s="17" t="n"/>
      <c r="L58" s="19">
        <f>IF(COUNT(F58:K58)=0,"",ROUND(SUM(F58:K58)/18*100,1))</f>
        <v/>
      </c>
      <c r="M58" s="17" t="n"/>
      <c r="N58" s="20" t="n"/>
      <c r="O58" s="20" t="n"/>
    </row>
    <row r="59">
      <c r="A59" s="17" t="n">
        <v>18</v>
      </c>
      <c r="B59" s="17" t="inlineStr">
        <is>
          <t>简答</t>
        </is>
      </c>
      <c r="C59" s="17" t="inlineStr">
        <is>
          <t>我的Agent</t>
        </is>
      </c>
      <c r="D59" s="17" t="inlineStr"/>
      <c r="E59" s="18" t="n"/>
      <c r="F59" s="17" t="n"/>
      <c r="G59" s="17" t="n"/>
      <c r="H59" s="17" t="n"/>
      <c r="I59" s="17" t="n"/>
      <c r="J59" s="17" t="n"/>
      <c r="K59" s="17" t="n"/>
      <c r="L59" s="19">
        <f>IF(COUNT(F59:K59)=0,"",ROUND(SUM(F59:K59)/18*100,1))</f>
        <v/>
      </c>
      <c r="M59" s="17" t="n"/>
      <c r="N59" s="20" t="n"/>
      <c r="O59" s="20" t="n"/>
    </row>
    <row r="60">
      <c r="A60" s="17" t="n">
        <v>19</v>
      </c>
      <c r="B60" s="17" t="inlineStr">
        <is>
          <t>简答</t>
        </is>
      </c>
      <c r="C60" s="17" t="inlineStr">
        <is>
          <t>我的Agent</t>
        </is>
      </c>
      <c r="D60" s="17" t="inlineStr"/>
      <c r="E60" s="18" t="n"/>
      <c r="F60" s="17" t="n"/>
      <c r="G60" s="17" t="n"/>
      <c r="H60" s="17" t="n"/>
      <c r="I60" s="17" t="n"/>
      <c r="J60" s="17" t="n"/>
      <c r="K60" s="17" t="n"/>
      <c r="L60" s="19">
        <f>IF(COUNT(F60:K60)=0,"",ROUND(SUM(F60:K60)/18*100,1))</f>
        <v/>
      </c>
      <c r="M60" s="17" t="n"/>
      <c r="N60" s="20" t="n"/>
      <c r="O60" s="20" t="n"/>
    </row>
    <row r="61">
      <c r="A61" s="17" t="n">
        <v>20</v>
      </c>
      <c r="B61" s="17" t="inlineStr">
        <is>
          <t>简答</t>
        </is>
      </c>
      <c r="C61" s="17" t="inlineStr">
        <is>
          <t>我的Agent</t>
        </is>
      </c>
      <c r="D61" s="17" t="inlineStr"/>
      <c r="E61" s="18" t="n"/>
      <c r="F61" s="17" t="n"/>
      <c r="G61" s="17" t="n"/>
      <c r="H61" s="17" t="n"/>
      <c r="I61" s="17" t="n"/>
      <c r="J61" s="17" t="n"/>
      <c r="K61" s="17" t="n"/>
      <c r="L61" s="19">
        <f>IF(COUNT(F61:K61)=0,"",ROUND(SUM(F61:K61)/18*100,1))</f>
        <v/>
      </c>
      <c r="M61" s="17" t="n"/>
      <c r="N61" s="20" t="n"/>
      <c r="O61" s="20" t="n"/>
    </row>
    <row r="62">
      <c r="A62" s="17" t="n">
        <v>21</v>
      </c>
      <c r="B62" s="17" t="inlineStr">
        <is>
          <t>简答</t>
        </is>
      </c>
      <c r="C62" s="17" t="inlineStr">
        <is>
          <t>我的Agent</t>
        </is>
      </c>
      <c r="D62" s="17" t="inlineStr"/>
      <c r="E62" s="18" t="n"/>
      <c r="F62" s="17" t="n"/>
      <c r="G62" s="17" t="n"/>
      <c r="H62" s="17" t="n"/>
      <c r="I62" s="17" t="n"/>
      <c r="J62" s="17" t="n"/>
      <c r="K62" s="17" t="n"/>
      <c r="L62" s="19">
        <f>IF(COUNT(F62:K62)=0,"",ROUND(SUM(F62:K62)/18*100,1))</f>
        <v/>
      </c>
      <c r="M62" s="17" t="n"/>
      <c r="N62" s="20" t="n"/>
      <c r="O62" s="20" t="n"/>
    </row>
    <row r="63">
      <c r="A63" s="17" t="n">
        <v>22</v>
      </c>
      <c r="B63" s="17" t="inlineStr">
        <is>
          <t>简答</t>
        </is>
      </c>
      <c r="C63" s="17" t="inlineStr">
        <is>
          <t>我的Agent</t>
        </is>
      </c>
      <c r="D63" s="17" t="inlineStr"/>
      <c r="E63" s="18" t="n"/>
      <c r="F63" s="17" t="n"/>
      <c r="G63" s="17" t="n"/>
      <c r="H63" s="17" t="n"/>
      <c r="I63" s="17" t="n"/>
      <c r="J63" s="17" t="n"/>
      <c r="K63" s="17" t="n"/>
      <c r="L63" s="19">
        <f>IF(COUNT(F63:K63)=0,"",ROUND(SUM(F63:K63)/18*100,1))</f>
        <v/>
      </c>
      <c r="M63" s="17" t="n"/>
      <c r="N63" s="20" t="n"/>
      <c r="O63" s="20" t="n"/>
    </row>
    <row r="64">
      <c r="A64" s="17" t="n">
        <v>23</v>
      </c>
      <c r="B64" s="17" t="inlineStr">
        <is>
          <t>简答</t>
        </is>
      </c>
      <c r="C64" s="17" t="inlineStr">
        <is>
          <t>我的Agent</t>
        </is>
      </c>
      <c r="D64" s="17" t="inlineStr"/>
      <c r="E64" s="18" t="n"/>
      <c r="F64" s="17" t="n"/>
      <c r="G64" s="17" t="n"/>
      <c r="H64" s="17" t="n"/>
      <c r="I64" s="17" t="n"/>
      <c r="J64" s="17" t="n"/>
      <c r="K64" s="17" t="n"/>
      <c r="L64" s="19">
        <f>IF(COUNT(F64:K64)=0,"",ROUND(SUM(F64:K64)/18*100,1))</f>
        <v/>
      </c>
      <c r="M64" s="17" t="n"/>
      <c r="N64" s="20" t="n"/>
      <c r="O64" s="20" t="n"/>
    </row>
    <row r="65">
      <c r="A65" s="17" t="n">
        <v>24</v>
      </c>
      <c r="B65" s="17" t="inlineStr">
        <is>
          <t>简答</t>
        </is>
      </c>
      <c r="C65" s="17" t="inlineStr">
        <is>
          <t>我的Agent</t>
        </is>
      </c>
      <c r="D65" s="17" t="inlineStr"/>
      <c r="E65" s="18" t="n"/>
      <c r="F65" s="17" t="n"/>
      <c r="G65" s="17" t="n"/>
      <c r="H65" s="17" t="n"/>
      <c r="I65" s="17" t="n"/>
      <c r="J65" s="17" t="n"/>
      <c r="K65" s="17" t="n"/>
      <c r="L65" s="19">
        <f>IF(COUNT(F65:K65)=0,"",ROUND(SUM(F65:K65)/18*100,1))</f>
        <v/>
      </c>
      <c r="M65" s="17" t="n"/>
      <c r="N65" s="20" t="n"/>
      <c r="O65" s="20" t="n"/>
    </row>
    <row r="66">
      <c r="A66" s="17" t="n">
        <v>25</v>
      </c>
      <c r="B66" s="17" t="inlineStr">
        <is>
          <t>简答</t>
        </is>
      </c>
      <c r="C66" s="17" t="inlineStr">
        <is>
          <t>我的Agent</t>
        </is>
      </c>
      <c r="D66" s="17" t="inlineStr"/>
      <c r="E66" s="18" t="n"/>
      <c r="F66" s="17" t="n"/>
      <c r="G66" s="17" t="n"/>
      <c r="H66" s="17" t="n"/>
      <c r="I66" s="17" t="n"/>
      <c r="J66" s="17" t="n"/>
      <c r="K66" s="17" t="n"/>
      <c r="L66" s="19">
        <f>IF(COUNT(F66:K66)=0,"",ROUND(SUM(F66:K66)/18*100,1))</f>
        <v/>
      </c>
      <c r="M66" s="17" t="n"/>
      <c r="N66" s="20" t="n"/>
      <c r="O66" s="20" t="n"/>
    </row>
    <row r="67">
      <c r="A67" s="17" t="n">
        <v>26</v>
      </c>
      <c r="B67" s="17" t="inlineStr">
        <is>
          <t>论述</t>
        </is>
      </c>
      <c r="C67" s="17" t="inlineStr">
        <is>
          <t>我的Agent</t>
        </is>
      </c>
      <c r="D67" s="17" t="inlineStr"/>
      <c r="E67" s="18" t="n"/>
      <c r="F67" s="17" t="n"/>
      <c r="G67" s="17" t="n"/>
      <c r="H67" s="17" t="n"/>
      <c r="I67" s="17" t="n"/>
      <c r="J67" s="17" t="n"/>
      <c r="K67" s="17" t="n"/>
      <c r="L67" s="19">
        <f>IF(COUNT(F67:K67)=0,"",ROUND(SUM(F67:K67)/18*100,1))</f>
        <v/>
      </c>
      <c r="M67" s="17" t="n"/>
      <c r="N67" s="20" t="n"/>
      <c r="O67" s="20" t="n"/>
    </row>
    <row r="68">
      <c r="A68" s="17" t="n">
        <v>27</v>
      </c>
      <c r="B68" s="17" t="inlineStr">
        <is>
          <t>论述</t>
        </is>
      </c>
      <c r="C68" s="17" t="inlineStr">
        <is>
          <t>我的Agent</t>
        </is>
      </c>
      <c r="D68" s="17" t="inlineStr"/>
      <c r="E68" s="18" t="n"/>
      <c r="F68" s="17" t="n"/>
      <c r="G68" s="17" t="n"/>
      <c r="H68" s="17" t="n"/>
      <c r="I68" s="17" t="n"/>
      <c r="J68" s="17" t="n"/>
      <c r="K68" s="17" t="n"/>
      <c r="L68" s="19">
        <f>IF(COUNT(F68:K68)=0,"",ROUND(SUM(F68:K68)/18*100,1))</f>
        <v/>
      </c>
      <c r="M68" s="17" t="n"/>
      <c r="N68" s="20" t="n"/>
      <c r="O68" s="20" t="n"/>
    </row>
    <row r="69">
      <c r="A69" s="17" t="n">
        <v>28</v>
      </c>
      <c r="B69" s="17" t="inlineStr">
        <is>
          <t>论述</t>
        </is>
      </c>
      <c r="C69" s="17" t="inlineStr">
        <is>
          <t>我的Agent</t>
        </is>
      </c>
      <c r="D69" s="17" t="inlineStr"/>
      <c r="E69" s="18" t="n"/>
      <c r="F69" s="17" t="n"/>
      <c r="G69" s="17" t="n"/>
      <c r="H69" s="17" t="n"/>
      <c r="I69" s="17" t="n"/>
      <c r="J69" s="17" t="n"/>
      <c r="K69" s="17" t="n"/>
      <c r="L69" s="19">
        <f>IF(COUNT(F69:K69)=0,"",ROUND(SUM(F69:K69)/18*100,1))</f>
        <v/>
      </c>
      <c r="M69" s="17" t="n"/>
      <c r="N69" s="20" t="n"/>
      <c r="O69" s="20" t="n"/>
    </row>
    <row r="70">
      <c r="A70" s="17" t="n">
        <v>29</v>
      </c>
      <c r="B70" s="17" t="inlineStr">
        <is>
          <t>论述</t>
        </is>
      </c>
      <c r="C70" s="17" t="inlineStr">
        <is>
          <t>我的Agent</t>
        </is>
      </c>
      <c r="D70" s="17" t="inlineStr"/>
      <c r="E70" s="18" t="n"/>
      <c r="F70" s="17" t="n"/>
      <c r="G70" s="17" t="n"/>
      <c r="H70" s="17" t="n"/>
      <c r="I70" s="17" t="n"/>
      <c r="J70" s="17" t="n"/>
      <c r="K70" s="17" t="n"/>
      <c r="L70" s="19">
        <f>IF(COUNT(F70:K70)=0,"",ROUND(SUM(F70:K70)/18*100,1))</f>
        <v/>
      </c>
      <c r="M70" s="17" t="n"/>
      <c r="N70" s="20" t="n"/>
      <c r="O70" s="20" t="n"/>
    </row>
    <row r="71">
      <c r="A71" s="17" t="n">
        <v>30</v>
      </c>
      <c r="B71" s="17" t="inlineStr">
        <is>
          <t>论述</t>
        </is>
      </c>
      <c r="C71" s="17" t="inlineStr">
        <is>
          <t>我的Agent</t>
        </is>
      </c>
      <c r="D71" s="17" t="inlineStr"/>
      <c r="E71" s="18" t="n"/>
      <c r="F71" s="17" t="n"/>
      <c r="G71" s="17" t="n"/>
      <c r="H71" s="17" t="n"/>
      <c r="I71" s="17" t="n"/>
      <c r="J71" s="17" t="n"/>
      <c r="K71" s="17" t="n"/>
      <c r="L71" s="19">
        <f>IF(COUNT(F71:K71)=0,"",ROUND(SUM(F71:K71)/18*100,1))</f>
        <v/>
      </c>
      <c r="M71" s="17" t="n"/>
      <c r="N71" s="20" t="n"/>
      <c r="O71" s="20" t="n"/>
    </row>
    <row r="72">
      <c r="A72" s="17" t="n">
        <v>31</v>
      </c>
      <c r="B72" s="17" t="inlineStr">
        <is>
          <t>论述</t>
        </is>
      </c>
      <c r="C72" s="17" t="inlineStr">
        <is>
          <t>我的Agent</t>
        </is>
      </c>
      <c r="D72" s="17" t="inlineStr"/>
      <c r="E72" s="18" t="n"/>
      <c r="F72" s="17" t="n"/>
      <c r="G72" s="17" t="n"/>
      <c r="H72" s="17" t="n"/>
      <c r="I72" s="17" t="n"/>
      <c r="J72" s="17" t="n"/>
      <c r="K72" s="17" t="n"/>
      <c r="L72" s="19">
        <f>IF(COUNT(F72:K72)=0,"",ROUND(SUM(F72:K72)/18*100,1))</f>
        <v/>
      </c>
      <c r="M72" s="17" t="n"/>
      <c r="N72" s="20" t="n"/>
      <c r="O72" s="20" t="n"/>
    </row>
    <row r="73">
      <c r="A73" s="17" t="n">
        <v>32</v>
      </c>
      <c r="B73" s="17" t="inlineStr">
        <is>
          <t>论述</t>
        </is>
      </c>
      <c r="C73" s="17" t="inlineStr">
        <is>
          <t>我的Agent</t>
        </is>
      </c>
      <c r="D73" s="17" t="inlineStr"/>
      <c r="E73" s="18" t="n"/>
      <c r="F73" s="17" t="n"/>
      <c r="G73" s="17" t="n"/>
      <c r="H73" s="17" t="n"/>
      <c r="I73" s="17" t="n"/>
      <c r="J73" s="17" t="n"/>
      <c r="K73" s="17" t="n"/>
      <c r="L73" s="19">
        <f>IF(COUNT(F73:K73)=0,"",ROUND(SUM(F73:K73)/18*100,1))</f>
        <v/>
      </c>
      <c r="M73" s="17" t="n"/>
      <c r="N73" s="20" t="n"/>
      <c r="O73" s="20" t="n"/>
    </row>
    <row r="74">
      <c r="A74" s="17" t="n">
        <v>33</v>
      </c>
      <c r="B74" s="17" t="inlineStr">
        <is>
          <t>论述</t>
        </is>
      </c>
      <c r="C74" s="17" t="inlineStr">
        <is>
          <t>我的Agent</t>
        </is>
      </c>
      <c r="D74" s="17" t="inlineStr"/>
      <c r="E74" s="18" t="n"/>
      <c r="F74" s="17" t="n"/>
      <c r="G74" s="17" t="n"/>
      <c r="H74" s="17" t="n"/>
      <c r="I74" s="17" t="n"/>
      <c r="J74" s="17" t="n"/>
      <c r="K74" s="17" t="n"/>
      <c r="L74" s="19">
        <f>IF(COUNT(F74:K74)=0,"",ROUND(SUM(F74:K74)/18*100,1))</f>
        <v/>
      </c>
      <c r="M74" s="17" t="n"/>
      <c r="N74" s="20" t="n"/>
      <c r="O74" s="20" t="n"/>
    </row>
    <row r="75">
      <c r="A75" s="17" t="n">
        <v>34</v>
      </c>
      <c r="B75" s="17" t="inlineStr">
        <is>
          <t>论述</t>
        </is>
      </c>
      <c r="C75" s="17" t="inlineStr">
        <is>
          <t>我的Agent</t>
        </is>
      </c>
      <c r="D75" s="17" t="inlineStr"/>
      <c r="E75" s="18" t="n"/>
      <c r="F75" s="17" t="n"/>
      <c r="G75" s="17" t="n"/>
      <c r="H75" s="17" t="n"/>
      <c r="I75" s="17" t="n"/>
      <c r="J75" s="17" t="n"/>
      <c r="K75" s="17" t="n"/>
      <c r="L75" s="19">
        <f>IF(COUNT(F75:K75)=0,"",ROUND(SUM(F75:K75)/18*100,1))</f>
        <v/>
      </c>
      <c r="M75" s="17" t="n"/>
      <c r="N75" s="20" t="n"/>
      <c r="O75" s="20" t="n"/>
    </row>
    <row r="76">
      <c r="A76" s="17" t="n">
        <v>35</v>
      </c>
      <c r="B76" s="17" t="inlineStr">
        <is>
          <t>论述</t>
        </is>
      </c>
      <c r="C76" s="17" t="inlineStr">
        <is>
          <t>我的Agent</t>
        </is>
      </c>
      <c r="D76" s="17" t="inlineStr"/>
      <c r="E76" s="18" t="n"/>
      <c r="F76" s="17" t="n"/>
      <c r="G76" s="17" t="n"/>
      <c r="H76" s="17" t="n"/>
      <c r="I76" s="17" t="n"/>
      <c r="J76" s="17" t="n"/>
      <c r="K76" s="17" t="n"/>
      <c r="L76" s="19">
        <f>IF(COUNT(F76:K76)=0,"",ROUND(SUM(F76:K76)/18*100,1))</f>
        <v/>
      </c>
      <c r="M76" s="17" t="n"/>
      <c r="N76" s="20" t="n"/>
      <c r="O76" s="20" t="n"/>
    </row>
    <row r="77">
      <c r="A77" s="17" t="n">
        <v>36</v>
      </c>
      <c r="B77" s="17" t="inlineStr">
        <is>
          <t>翻译鉴赏</t>
        </is>
      </c>
      <c r="C77" s="17" t="inlineStr">
        <is>
          <t>我的Agent</t>
        </is>
      </c>
      <c r="D77" s="17" t="inlineStr"/>
      <c r="E77" s="18" t="n"/>
      <c r="F77" s="17" t="n"/>
      <c r="G77" s="17" t="n"/>
      <c r="H77" s="17" t="n"/>
      <c r="I77" s="17" t="n"/>
      <c r="J77" s="17" t="n"/>
      <c r="K77" s="17" t="n"/>
      <c r="L77" s="19">
        <f>IF(COUNT(F77:K77)=0,"",ROUND(SUM(F77:K77)/18*100,1))</f>
        <v/>
      </c>
      <c r="M77" s="17" t="n"/>
      <c r="N77" s="20" t="n"/>
      <c r="O77" s="20" t="n"/>
    </row>
    <row r="78">
      <c r="A78" s="17" t="n">
        <v>37</v>
      </c>
      <c r="B78" s="17" t="inlineStr">
        <is>
          <t>翻译鉴赏</t>
        </is>
      </c>
      <c r="C78" s="17" t="inlineStr">
        <is>
          <t>我的Agent</t>
        </is>
      </c>
      <c r="D78" s="17" t="inlineStr"/>
      <c r="E78" s="18" t="n"/>
      <c r="F78" s="17" t="n"/>
      <c r="G78" s="17" t="n"/>
      <c r="H78" s="17" t="n"/>
      <c r="I78" s="17" t="n"/>
      <c r="J78" s="17" t="n"/>
      <c r="K78" s="17" t="n"/>
      <c r="L78" s="19">
        <f>IF(COUNT(F78:K78)=0,"",ROUND(SUM(F78:K78)/18*100,1))</f>
        <v/>
      </c>
      <c r="M78" s="17" t="n"/>
      <c r="N78" s="20" t="n"/>
      <c r="O78" s="20" t="n"/>
    </row>
    <row r="79">
      <c r="A79" s="17" t="n">
        <v>38</v>
      </c>
      <c r="B79" s="17" t="inlineStr">
        <is>
          <t>翻译鉴赏</t>
        </is>
      </c>
      <c r="C79" s="17" t="inlineStr">
        <is>
          <t>我的Agent</t>
        </is>
      </c>
      <c r="D79" s="17" t="inlineStr"/>
      <c r="E79" s="18" t="n"/>
      <c r="F79" s="17" t="n"/>
      <c r="G79" s="17" t="n"/>
      <c r="H79" s="17" t="n"/>
      <c r="I79" s="17" t="n"/>
      <c r="J79" s="17" t="n"/>
      <c r="K79" s="17" t="n"/>
      <c r="L79" s="19">
        <f>IF(COUNT(F79:K79)=0,"",ROUND(SUM(F79:K79)/18*100,1))</f>
        <v/>
      </c>
      <c r="M79" s="17" t="n"/>
      <c r="N79" s="20" t="n"/>
      <c r="O79" s="20" t="n"/>
    </row>
    <row r="80">
      <c r="A80" s="17" t="n">
        <v>39</v>
      </c>
      <c r="B80" s="17" t="inlineStr">
        <is>
          <t>翻译鉴赏</t>
        </is>
      </c>
      <c r="C80" s="17" t="inlineStr">
        <is>
          <t>我的Agent</t>
        </is>
      </c>
      <c r="D80" s="17" t="inlineStr"/>
      <c r="E80" s="18" t="n"/>
      <c r="F80" s="17" t="n"/>
      <c r="G80" s="17" t="n"/>
      <c r="H80" s="17" t="n"/>
      <c r="I80" s="17" t="n"/>
      <c r="J80" s="17" t="n"/>
      <c r="K80" s="17" t="n"/>
      <c r="L80" s="19">
        <f>IF(COUNT(F80:K80)=0,"",ROUND(SUM(F80:K80)/18*100,1))</f>
        <v/>
      </c>
      <c r="M80" s="17" t="n"/>
      <c r="N80" s="20" t="n"/>
      <c r="O80" s="20" t="n"/>
    </row>
    <row r="81">
      <c r="A81" s="17" t="n">
        <v>40</v>
      </c>
      <c r="B81" s="17" t="inlineStr">
        <is>
          <t>翻译鉴赏</t>
        </is>
      </c>
      <c r="C81" s="17" t="inlineStr">
        <is>
          <t>我的Agent</t>
        </is>
      </c>
      <c r="D81" s="17" t="inlineStr"/>
      <c r="E81" s="18" t="n"/>
      <c r="F81" s="17" t="n"/>
      <c r="G81" s="17" t="n"/>
      <c r="H81" s="17" t="n"/>
      <c r="I81" s="17" t="n"/>
      <c r="J81" s="17" t="n"/>
      <c r="K81" s="17" t="n"/>
      <c r="L81" s="19">
        <f>IF(COUNT(F81:K81)=0,"",ROUND(SUM(F81:K81)/18*100,1))</f>
        <v/>
      </c>
      <c r="M81" s="17" t="n"/>
      <c r="N81" s="20" t="n"/>
      <c r="O81" s="20" t="n"/>
    </row>
  </sheetData>
  <dataValidations count="3">
    <dataValidation sqref="C2:C81" showDropDown="0" showInputMessage="0" showErrorMessage="0" allowBlank="1" type="list">
      <formula1>"裸模型,我的Agent"</formula1>
    </dataValidation>
    <dataValidation sqref="N2:N81" showDropDown="0" showInputMessage="0" showErrorMessage="0" allowBlank="1" type="list">
      <formula1>"无,编造原文或篇名,张冠李戴,时代错乱,虚构情节或人物,杜撰文献或研究者,过度臆断"</formula1>
    </dataValidation>
    <dataValidation sqref="F2:K81" showDropDown="0" showInputMessage="0" showErrorMessage="0" allowBlank="1" errorTitle="分值超出范围" error="请填 0–3 的整数" type="whole" operator="between">
      <formula1>0</formula1>
      <formula2>3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4" customWidth="1" min="4" max="4"/>
    <col width="12" customWidth="1" min="5" max="5"/>
    <col width="52" customWidth="1" min="6" max="6"/>
  </cols>
  <sheetData>
    <row r="1">
      <c r="B1" s="10" t="inlineStr">
        <is>
          <t>汇总对比（自动计算，填完「评分记录」即出结果）</t>
        </is>
      </c>
    </row>
    <row r="3">
      <c r="B3" s="7" t="inlineStr">
        <is>
          <t>指标</t>
        </is>
      </c>
      <c r="C3" s="7" t="inlineStr">
        <is>
          <t>裸模型</t>
        </is>
      </c>
      <c r="D3" s="7" t="inlineStr">
        <is>
          <t>我的Agent</t>
        </is>
      </c>
      <c r="E3" s="7" t="inlineStr">
        <is>
          <t>相对变化</t>
        </is>
      </c>
      <c r="F3" s="7" t="inlineStr">
        <is>
          <t>备注 / 面试可用话术</t>
        </is>
      </c>
    </row>
    <row r="4">
      <c r="B4" s="21" t="inlineStr">
        <is>
          <t>平均总分（百分制）</t>
        </is>
      </c>
      <c r="C4" s="22">
        <f>IFERROR(ROUND(AVERAGEIFS(评分记录!$L$2:$L$81,评分记录!$C$2:$C$81,C$3),1),"待评分")</f>
        <v/>
      </c>
      <c r="D4" s="22">
        <f>IFERROR(ROUND(AVERAGEIFS(评分记录!$L$2:$L$81,评分记录!$C$2:$C$81,D$3),1),"待评分")</f>
        <v/>
      </c>
      <c r="E4" s="23">
        <f>IFERROR(IF(OR(C4="待评分",D4="待评分"),"待评分",(D4-C4)/C4),"待评分")</f>
        <v/>
      </c>
      <c r="F4" s="24" t="inlineStr">
        <is>
          <t>核心数字：简历第一行就写它</t>
        </is>
      </c>
    </row>
    <row r="5">
      <c r="B5" s="21" t="inlineStr">
        <is>
          <t>① 考点覆盖</t>
        </is>
      </c>
      <c r="C5" s="22">
        <f>IFERROR(ROUND(AVERAGEIFS(评分记录!$F$2:$F$81,评分记录!$C$2:$C$81,C$3),1),"待评分")</f>
        <v/>
      </c>
      <c r="D5" s="22">
        <f>IFERROR(ROUND(AVERAGEIFS(评分记录!$F$2:$F$81,评分记录!$C$2:$C$81,D$3),1),"待评分")</f>
        <v/>
      </c>
      <c r="E5" s="23">
        <f>IFERROR(IF(OR(C5="待评分",D5="待评分"),"待评分",(D5-C5)/C5),"待评分")</f>
        <v/>
      </c>
      <c r="F5" s="24" t="inlineStr">
        <is>
          <t>采分点命中率，论述题最能体现差距</t>
        </is>
      </c>
    </row>
    <row r="6">
      <c r="B6" s="21" t="inlineStr">
        <is>
          <t>② 知识准确性</t>
        </is>
      </c>
      <c r="C6" s="22">
        <f>IFERROR(ROUND(AVERAGEIFS(评分记录!$G$2:$G$81,评分记录!$C$2:$C$81,C$3),1),"待评分")</f>
        <v/>
      </c>
      <c r="D6" s="22">
        <f>IFERROR(ROUND(AVERAGEIFS(评分记录!$G$2:$G$81,评分记录!$C$2:$C$81,D$3),1),"待评分")</f>
        <v/>
      </c>
      <c r="E6" s="23">
        <f>IFERROR(IF(OR(C6="待评分",D6="待评分"),"待评分",(D6-C6)/C6),"待评分")</f>
        <v/>
      </c>
      <c r="F6" s="24" t="inlineStr">
        <is>
          <t>硬伤数量，说明你的知识库有效约束了模型</t>
        </is>
      </c>
    </row>
    <row r="7">
      <c r="B7" s="21" t="inlineStr">
        <is>
          <t>③ 出处引用</t>
        </is>
      </c>
      <c r="C7" s="22">
        <f>IFERROR(ROUND(AVERAGEIFS(评分记录!$H$2:$H$81,评分记录!$C$2:$C$81,C$3),1),"待评分")</f>
        <v/>
      </c>
      <c r="D7" s="22">
        <f>IFERROR(ROUND(AVERAGEIFS(评分记录!$H$2:$H$81,评分记录!$C$2:$C$81,D$3),1),"待评分")</f>
        <v/>
      </c>
      <c r="E7" s="23">
        <f>IFERROR(IF(OR(C7="待评分",D7="待评分"),"待评分",(D7-C7)/C7),"待评分")</f>
        <v/>
      </c>
      <c r="F7" s="24" t="inlineStr">
        <is>
          <t>古文场景最关键的维度</t>
        </is>
      </c>
    </row>
    <row r="8">
      <c r="B8" s="21" t="inlineStr">
        <is>
          <t>④ 结构层次</t>
        </is>
      </c>
      <c r="C8" s="22">
        <f>IFERROR(ROUND(AVERAGEIFS(评分记录!$I$2:$I$81,评分记录!$C$2:$C$81,C$3),1),"待评分")</f>
        <v/>
      </c>
      <c r="D8" s="22">
        <f>IFERROR(ROUND(AVERAGEIFS(评分记录!$I$2:$I$81,评分记录!$C$2:$C$81,D$3),1),"待评分")</f>
        <v/>
      </c>
      <c r="E8" s="23">
        <f>IFERROR(IF(OR(C8="待评分",D8="待评分"),"待评分",(D8-C8)/C8),"待评分")</f>
        <v/>
      </c>
      <c r="F8" s="24" t="inlineStr">
        <is>
          <t>体现你的题型模板设计</t>
        </is>
      </c>
    </row>
    <row r="9">
      <c r="B9" s="21" t="inlineStr">
        <is>
          <t>⑤ 语体规范</t>
        </is>
      </c>
      <c r="C9" s="22">
        <f>IFERROR(ROUND(AVERAGEIFS(评分记录!$J$2:$J$81,评分记录!$C$2:$C$81,C$3),1),"待评分")</f>
        <v/>
      </c>
      <c r="D9" s="22">
        <f>IFERROR(ROUND(AVERAGEIFS(评分记录!$J$2:$J$81,评分记录!$C$2:$C$81,D$3),1),"待评分")</f>
        <v/>
      </c>
      <c r="E9" s="23">
        <f>IFERROR(IF(OR(C9="待评分",D9="待评分"),"待评分",(D9-C9)/C9),"待评分")</f>
        <v/>
      </c>
      <c r="F9" s="24" t="inlineStr">
        <is>
          <t>体现你的提示词语体约束</t>
        </is>
      </c>
    </row>
    <row r="10">
      <c r="B10" s="21" t="inlineStr">
        <is>
          <t>⑥ 题型合规</t>
        </is>
      </c>
      <c r="C10" s="22">
        <f>IFERROR(ROUND(AVERAGEIFS(评分记录!$K$2:$K$81,评分记录!$C$2:$C$81,C$3),1),"待评分")</f>
        <v/>
      </c>
      <c r="D10" s="22">
        <f>IFERROR(ROUND(AVERAGEIFS(评分记录!$K$2:$K$81,评分记录!$C$2:$C$81,D$3),1),"待评分")</f>
        <v/>
      </c>
      <c r="E10" s="23">
        <f>IFERROR(IF(OR(C10="待评分",D10="待评分"),"待评分",(D10-C10)/C10),"待评分")</f>
        <v/>
      </c>
      <c r="F10" s="24" t="inlineStr">
        <is>
          <t>体现你的场景理解</t>
        </is>
      </c>
    </row>
    <row r="12">
      <c r="B12" s="21" t="inlineStr">
        <is>
          <t>幻觉回答条数</t>
        </is>
      </c>
      <c r="C12" s="25">
        <f>COUNTIFS(评分记录!$C$2:$C$81,C$3,评分记录!$M$2:$M$81,"&gt;0")</f>
        <v/>
      </c>
      <c r="D12" s="25">
        <f>COUNTIFS(评分记录!$C$2:$C$81,D$3,评分记录!$M$2:$M$81,"&gt;0")</f>
        <v/>
      </c>
      <c r="E12" s="22" t="n"/>
      <c r="F12" s="26" t="inlineStr">
        <is>
          <t>含至少 1 次幻觉的回答数量</t>
        </is>
      </c>
    </row>
    <row r="13">
      <c r="B13" s="21" t="inlineStr">
        <is>
          <t>有效评分条数</t>
        </is>
      </c>
      <c r="C13" s="25">
        <f>COUNTIFS(评分记录!$C$2:$C$81,C$3,评分记录!$F$2:$F$81,"&lt;&gt;")</f>
        <v/>
      </c>
      <c r="D13" s="25">
        <f>COUNTIFS(评分记录!$C$2:$C$81,D$3,评分记录!$F$2:$F$81,"&lt;&gt;")</f>
        <v/>
      </c>
      <c r="E13" s="22" t="n"/>
      <c r="F13" s="27" t="n"/>
    </row>
    <row r="14">
      <c r="B14" s="21" t="inlineStr">
        <is>
          <t>幻觉率</t>
        </is>
      </c>
      <c r="C14" s="25">
        <f>IFERROR(C12/C13,"待评分")</f>
        <v/>
      </c>
      <c r="D14" s="25">
        <f>IFERROR(D12/D13,"待评分")</f>
        <v/>
      </c>
      <c r="E14" s="23">
        <f>IFERROR(IF(OR(C14="待评分",D14="待评分"),"待评分",(D14-C14)/C14),"待评分")</f>
        <v/>
      </c>
      <c r="F14" s="26" t="inlineStr">
        <is>
          <t>简历第二个数字：幻觉率下降幅度</t>
        </is>
      </c>
    </row>
    <row r="16">
      <c r="B16" s="3" t="inlineStr">
        <is>
          <t>结论区（手动填写，写进复盘长文和简历）</t>
        </is>
      </c>
      <c r="C16" s="4" t="n"/>
    </row>
    <row r="17" ht="24" customHeight="1">
      <c r="B17" s="14" t="inlineStr">
        <is>
          <t>1. 我的 Agent 相对裸模型，平均总分提升 ____%（相对提升），绝对差 ____ 分。</t>
        </is>
      </c>
    </row>
    <row r="18" ht="24" customHeight="1">
      <c r="B18" s="14" t="inlineStr">
        <is>
          <t>2. 幻觉率由 ____% 降至 ____%，主要改善的幻觉类型是：____________________。</t>
        </is>
      </c>
    </row>
    <row r="19" ht="24" customHeight="1">
      <c r="B19" s="14" t="inlineStr">
        <is>
          <t>3. 差异最大的 3 道题及 badcase 归因：____________________________________。</t>
        </is>
      </c>
    </row>
    <row r="20" ht="24" customHeight="1">
      <c r="B20" s="14" t="inlineStr">
        <is>
          <t>4. 我的 Agent 输掉的题目及原因（必须写，能体现复盘能力）：________________。</t>
        </is>
      </c>
    </row>
    <row r="21" ht="24" customHeight="1">
      <c r="B21" s="14" t="inlineStr">
        <is>
          <t>5. 下一步迭代计划（1–2 条）：____________________________________________。</t>
        </is>
      </c>
    </row>
  </sheetData>
  <mergeCells count="5">
    <mergeCell ref="B21:F21"/>
    <mergeCell ref="B20:F20"/>
    <mergeCell ref="B19:F19"/>
    <mergeCell ref="B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2026-10-08T10:52:55Z</dcterms:created>
  <dcterms:modified xmlns:dcterms="http://purl.org/dc/terms/" xmlns:xsi="http://www.w3.org/2001/XMLSchema-instance" xsi:type="dcterms:W3CDTF">2026-10-08T10:52:55Z</dcterms:modified>
</cp:coreProperties>
</file>